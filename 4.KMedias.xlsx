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4XCL\VIDEOS\"/>
    </mc:Choice>
  </mc:AlternateContent>
  <xr:revisionPtr revIDLastSave="0" documentId="13_ncr:1_{243AA01C-69B4-40AF-8F10-67CD5E0D6758}" xr6:coauthVersionLast="47" xr6:coauthVersionMax="47" xr10:uidLastSave="{00000000-0000-0000-0000-000000000000}"/>
  <bookViews>
    <workbookView xWindow="-90" yWindow="-90" windowWidth="17460" windowHeight="10260" xr2:uid="{8A9FCFAA-687E-4589-B213-2C24AA9BCDD6}"/>
  </bookViews>
  <sheets>
    <sheet name="USA Arrest" sheetId="2" r:id="rId1"/>
    <sheet name="Graf" sheetId="3" r:id="rId2"/>
  </sheets>
  <externalReferences>
    <externalReference r:id="rId3"/>
    <externalReference r:id="rId4"/>
    <externalReference r:id="rId5"/>
  </externalReferences>
  <definedNames>
    <definedName name="_xlnm._FilterDatabase" localSheetId="0" hidden="1">'USA Arrest'!$A$1:$G$51</definedName>
    <definedName name="ACP_OUT_01">#REF!</definedName>
    <definedName name="ACP_OUT_02">#REF!</definedName>
    <definedName name="ACP_OUT_03">#REF!</definedName>
    <definedName name="ACP_OUT_04">#REF!</definedName>
    <definedName name="ACP_OUT_05">#REF!</definedName>
    <definedName name="ACP_OUT_06">#REF!</definedName>
    <definedName name="BINOMIAL_OUT_01">#REF!</definedName>
    <definedName name="CC">[2]TEMA002_ACP_DS!$M$12:$O$14</definedName>
    <definedName name="CC.inv">[2]TEMA002_ACP_DS!$M$16:$O$18</definedName>
    <definedName name="D">[2]TEMA002_ACP_DS!$I$3:$K$102</definedName>
    <definedName name="Kmedias_OUT_01">#REF!</definedName>
    <definedName name="Kmedias_OUT_02">#REF!</definedName>
    <definedName name="Kmedias_OUT_03">#REF!</definedName>
    <definedName name="Kmedias_OUT_04">#REF!</definedName>
    <definedName name="Kmedias_OUT_05">#REF!</definedName>
    <definedName name="Kmedias_OUT_06">#REF!</definedName>
    <definedName name="Kmedias_OUT_07">#REF!</definedName>
    <definedName name="Kmedias_OUT_08">#REF!</definedName>
    <definedName name="Kmedias_OUT_09">#REF!</definedName>
    <definedName name="Kmedias_OUT_10">#REF!</definedName>
    <definedName name="Lookup">'[1]Cluster SLVR'!$A$15:$J$64</definedName>
    <definedName name="n">[2]TEMA002_ACP_DS!$F$9</definedName>
    <definedName name="nUSarrest">[3]USArrest!$X$4</definedName>
    <definedName name="USArrest">[3]USArrest!$O$2:$R$51</definedName>
    <definedName name="VarCov">[2]TEMA002_ACP_DS!$M$7:$O$9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2" i="3"/>
  <c r="A3" i="3"/>
  <c r="A4" i="3"/>
  <c r="A5" i="3"/>
  <c r="A6" i="3" s="1"/>
  <c r="A7" i="3" s="1"/>
  <c r="A8" i="3" s="1"/>
  <c r="A9" i="3" s="1"/>
  <c r="A10" i="3" s="1"/>
  <c r="A2" i="3"/>
  <c r="L2" i="2" a="1"/>
  <c r="L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<sst xmlns="http://schemas.openxmlformats.org/spreadsheetml/2006/main" count="64" uniqueCount="64">
  <si>
    <t>Murder</t>
  </si>
  <si>
    <t>Assault</t>
  </si>
  <si>
    <t>UrbanPop</t>
  </si>
  <si>
    <t>Rape</t>
  </si>
  <si>
    <t>Washington</t>
  </si>
  <si>
    <t>West Virginia</t>
  </si>
  <si>
    <t>Wisconsin</t>
  </si>
  <si>
    <t>Wyoming</t>
  </si>
  <si>
    <t>ID</t>
  </si>
  <si>
    <t>ESTADO</t>
  </si>
  <si>
    <t>PARAMETROS</t>
  </si>
  <si>
    <t>Alabama</t>
  </si>
  <si>
    <t>ESCALAR</t>
  </si>
  <si>
    <t>Alaska</t>
  </si>
  <si>
    <t>K</t>
  </si>
  <si>
    <t>Arizona</t>
  </si>
  <si>
    <t>KOPTIMO</t>
  </si>
  <si>
    <t>Arkansas</t>
  </si>
  <si>
    <t>SEMILLA</t>
  </si>
  <si>
    <t>California</t>
  </si>
  <si>
    <t>METODO</t>
  </si>
  <si>
    <t>Colorado</t>
  </si>
  <si>
    <t>OUTPUT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</si>
  <si>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</si>
  <si>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</si>
  <si>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</si>
  <si>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</si>
  <si>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</si>
  <si>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</si>
  <si>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</si>
  <si>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</si>
  <si>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</si>
  <si>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</si>
  <si>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</si>
  <si>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</si>
  <si>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</si>
  <si>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</si>
  <si>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</si>
  <si>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</si>
  <si>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</si>
  <si>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</si>
  <si>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</si>
  <si>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</si>
  <si>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</si>
  <si>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</si>
  <si>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</si>
  <si>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</si>
  <si>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</si>
  <si>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</si>
  <si>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</si>
  <si>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</si>
  <si>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</si>
  <si>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</si>
  <si>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</si>
  <si>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</si>
  <si>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</si>
  <si>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</si>
  <si>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</si>
  <si>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</si>
  <si>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</si>
  <si>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</si>
  <si>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</si>
  <si>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</si>
  <si>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Cluster.Asignado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</si>
</sst>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_-;\-* #,##0.0_-;_-* &quot;-&quot;??_-;_-@_-"/>
    <numFmt numFmtId="166" formatCode="0.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Continuous"/>
    </xf>
    <xf numFmtId="165" fontId="0" fillId="0" borderId="0" xfId="1" applyNumberFormat="1" applyFont="1" applyAlignment="1">
      <alignment horizontal="right"/>
    </xf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Continuous"/>
    </xf>
    <xf numFmtId="0" fontId="2" fillId="4" borderId="0" xfId="0" applyFont="1" applyFill="1" applyAlignment="1">
      <alignment horizontal="centerContinuous"/>
    </xf>
    <xf numFmtId="166" fontId="0" fillId="0" borderId="0" xfId="0" applyNumberFormat="1"/>
    <xf numFmtId="0" fontId="4" fillId="0" borderId="0" xfId="0" applyFont="1"/>
    <xf numFmtId="166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Graf!$B$1:$B$10</c:f>
              <c:numCache>
                <c:formatCode>General</c:formatCode>
                <c:ptCount val="10"/>
                <c:pt idx="0">
                  <c:v>196.00000000000009</c:v>
                </c:pt>
                <c:pt idx="1">
                  <c:v>102.86240049441732</c:v>
                </c:pt>
                <c:pt idx="2">
                  <c:v>81.593288443223912</c:v>
                </c:pt>
                <c:pt idx="3">
                  <c:v>69.868578179427374</c:v>
                </c:pt>
                <c:pt idx="4">
                  <c:v>51.63029192064613</c:v>
                </c:pt>
                <c:pt idx="5">
                  <c:v>44.544991597457184</c:v>
                </c:pt>
                <c:pt idx="6">
                  <c:v>41.090761291529063</c:v>
                </c:pt>
                <c:pt idx="7">
                  <c:v>34.443270034791418</c:v>
                </c:pt>
                <c:pt idx="8">
                  <c:v>32.34902869521413</c:v>
                </c:pt>
                <c:pt idx="9">
                  <c:v>30.270646368187091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6-4718-BB21-898460F6A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739888"/>
        <c:axId val="643738640"/>
      </c:lineChart>
      <c:catAx>
        <c:axId val="643739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643738640"/>
        <c:crosses val="autoZero"/>
        <c:auto val="1"/>
        <c:lblAlgn val="ctr"/>
        <c:lblOffset val="100"/>
        <c:noMultiLvlLbl val="0"/>
      </c:catAx>
      <c:valAx>
        <c:axId val="6437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6437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458787</xdr:colOff>
      <xdr:row>0</xdr:row>
      <xdr:rowOff>58737</xdr:rowOff>
    </xdr:from>
    <xdr:to>
      <xdr:col>12</xdr:col>
      <xdr:colOff>153987</xdr:colOff>
      <xdr:row>14</xdr:row>
      <xdr:rowOff>179387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F11D4-DBCF-4AF0-A007-A360D1B88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AD/2021/ESS/GEN04/000%20CLASES/CL0002/TEMA001_Kmedi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AD\2020\ESP\FINANZAS%20NO%20FINANCIEROS\CL002\TEMA002_ACP_D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EAD/2021/ESP/FINANZAS%20NO%20FINANCIEROS/GEN03/CL002/TEMA002_AC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arrest"/>
      <sheetName val="NORMALIZACION"/>
      <sheetName val="DISTANCIAS"/>
      <sheetName val="CENTROIDES"/>
      <sheetName val="Cluster SLVR"/>
      <sheetName val="KMEDIAS"/>
      <sheetName val="R4XCL k optimo"/>
      <sheetName val="GRAF_AC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5">
          <cell r="A15" t="str">
            <v>ID</v>
          </cell>
          <cell r="B15" t="str">
            <v>ESTADO</v>
          </cell>
          <cell r="C15" t="str">
            <v>Murder</v>
          </cell>
          <cell r="D15" t="str">
            <v>Assault</v>
          </cell>
          <cell r="E15" t="str">
            <v>UrbanPop</v>
          </cell>
          <cell r="F15" t="str">
            <v>Rape</v>
          </cell>
          <cell r="G15" t="str">
            <v>Z. Murder</v>
          </cell>
          <cell r="H15" t="str">
            <v>Z. Assault</v>
          </cell>
          <cell r="I15" t="str">
            <v>Z. UrbanPop</v>
          </cell>
          <cell r="J15" t="str">
            <v>Z. Rape</v>
          </cell>
        </row>
        <row r="16">
          <cell r="A16">
            <v>1</v>
          </cell>
          <cell r="B16" t="str">
            <v>Alabama</v>
          </cell>
          <cell r="C16">
            <v>13.2</v>
          </cell>
          <cell r="D16">
            <v>236</v>
          </cell>
          <cell r="E16">
            <v>58</v>
          </cell>
          <cell r="F16">
            <v>21.2</v>
          </cell>
          <cell r="G16">
            <v>1.2258945938530366</v>
          </cell>
          <cell r="H16">
            <v>0.77255478566860092</v>
          </cell>
          <cell r="I16">
            <v>-0.52409463983089322</v>
          </cell>
          <cell r="J16">
            <v>-1.558576708334909E-2</v>
          </cell>
        </row>
        <row r="17">
          <cell r="A17">
            <v>2</v>
          </cell>
          <cell r="B17" t="str">
            <v>Alaska</v>
          </cell>
          <cell r="C17">
            <v>10</v>
          </cell>
          <cell r="D17">
            <v>263</v>
          </cell>
          <cell r="E17">
            <v>48</v>
          </cell>
          <cell r="F17">
            <v>44.5</v>
          </cell>
          <cell r="G17">
            <v>0.49833868046864566</v>
          </cell>
          <cell r="H17">
            <v>1.0932607729417603</v>
          </cell>
          <cell r="I17">
            <v>-1.2089116358765941</v>
          </cell>
          <cell r="J17">
            <v>2.4558406605638852</v>
          </cell>
        </row>
        <row r="18">
          <cell r="A18">
            <v>3</v>
          </cell>
          <cell r="B18" t="str">
            <v>Arizona</v>
          </cell>
          <cell r="C18">
            <v>8.1</v>
          </cell>
          <cell r="D18">
            <v>294</v>
          </cell>
          <cell r="E18">
            <v>80</v>
          </cell>
          <cell r="F18">
            <v>31</v>
          </cell>
          <cell r="G18">
            <v>6.6352356896663356E-2</v>
          </cell>
          <cell r="H18">
            <v>1.4614787583294619</v>
          </cell>
          <cell r="I18">
            <v>0.98250275146964905</v>
          </cell>
          <cell r="J18">
            <v>1.0238983097811529</v>
          </cell>
        </row>
        <row r="19">
          <cell r="A19">
            <v>4</v>
          </cell>
          <cell r="B19" t="str">
            <v>Arkansas</v>
          </cell>
          <cell r="C19">
            <v>8.8000000000000007</v>
          </cell>
          <cell r="D19">
            <v>190</v>
          </cell>
          <cell r="E19">
            <v>50</v>
          </cell>
          <cell r="F19">
            <v>19.5</v>
          </cell>
          <cell r="G19">
            <v>0.22550521294949916</v>
          </cell>
          <cell r="H19">
            <v>0.22616680735136629</v>
          </cell>
          <cell r="I19">
            <v>-1.071948236667454</v>
          </cell>
          <cell r="J19">
            <v>-0.1959044334782116</v>
          </cell>
        </row>
        <row r="20">
          <cell r="A20">
            <v>5</v>
          </cell>
          <cell r="B20" t="str">
            <v>California</v>
          </cell>
          <cell r="C20">
            <v>9</v>
          </cell>
          <cell r="D20">
            <v>276</v>
          </cell>
          <cell r="E20">
            <v>91</v>
          </cell>
          <cell r="F20">
            <v>40.6</v>
          </cell>
          <cell r="G20">
            <v>0.27097745753602342</v>
          </cell>
          <cell r="H20">
            <v>1.2476747668140222</v>
          </cell>
          <cell r="I20">
            <v>1.7358014471199201</v>
          </cell>
          <cell r="J20">
            <v>2.0421684258933186</v>
          </cell>
        </row>
        <row r="21">
          <cell r="A21">
            <v>6</v>
          </cell>
          <cell r="B21" t="str">
            <v>Colorado</v>
          </cell>
          <cell r="C21">
            <v>7.9</v>
          </cell>
          <cell r="D21">
            <v>204</v>
          </cell>
          <cell r="E21">
            <v>78</v>
          </cell>
          <cell r="F21">
            <v>38.700000000000003</v>
          </cell>
          <cell r="G21">
            <v>2.0880112310139077E-2</v>
          </cell>
          <cell r="H21">
            <v>0.3924588007522638</v>
          </cell>
          <cell r="I21">
            <v>0.8455393522605088</v>
          </cell>
          <cell r="J21">
            <v>1.8406357987461193</v>
          </cell>
        </row>
        <row r="22">
          <cell r="A22">
            <v>7</v>
          </cell>
          <cell r="B22" t="str">
            <v>Connecticut</v>
          </cell>
          <cell r="C22">
            <v>3.3</v>
          </cell>
          <cell r="D22">
            <v>110</v>
          </cell>
          <cell r="E22">
            <v>77</v>
          </cell>
          <cell r="F22">
            <v>11.1</v>
          </cell>
          <cell r="G22">
            <v>-1.0249815131799234</v>
          </cell>
          <cell r="H22">
            <v>-0.72407315493947655</v>
          </cell>
          <cell r="I22">
            <v>0.77705765265593874</v>
          </cell>
          <cell r="J22">
            <v>-1.0868907850763563</v>
          </cell>
        </row>
        <row r="23">
          <cell r="A23">
            <v>8</v>
          </cell>
          <cell r="B23" t="str">
            <v>Delaware</v>
          </cell>
          <cell r="C23">
            <v>5.9</v>
          </cell>
          <cell r="D23">
            <v>238</v>
          </cell>
          <cell r="E23">
            <v>72</v>
          </cell>
          <cell r="F23">
            <v>15.8</v>
          </cell>
          <cell r="G23">
            <v>-0.43384233355510537</v>
          </cell>
          <cell r="H23">
            <v>0.79631078472587202</v>
          </cell>
          <cell r="I23">
            <v>0.43464915463308823</v>
          </cell>
          <cell r="J23">
            <v>-0.58836270739644192</v>
          </cell>
        </row>
        <row r="24">
          <cell r="A24">
            <v>9</v>
          </cell>
          <cell r="B24" t="str">
            <v>Florida</v>
          </cell>
          <cell r="C24">
            <v>15.4</v>
          </cell>
          <cell r="D24">
            <v>335</v>
          </cell>
          <cell r="E24">
            <v>80</v>
          </cell>
          <cell r="F24">
            <v>31.9</v>
          </cell>
          <cell r="G24">
            <v>1.7260892843048057</v>
          </cell>
          <cell r="H24">
            <v>1.9484767390035189</v>
          </cell>
          <cell r="I24">
            <v>0.98250275146964905</v>
          </cell>
          <cell r="J24">
            <v>1.1193611331666684</v>
          </cell>
        </row>
        <row r="25">
          <cell r="A25">
            <v>10</v>
          </cell>
          <cell r="B25" t="str">
            <v>Georgia</v>
          </cell>
          <cell r="C25">
            <v>17.399999999999999</v>
          </cell>
          <cell r="D25">
            <v>211</v>
          </cell>
          <cell r="E25">
            <v>60</v>
          </cell>
          <cell r="F25">
            <v>25.8</v>
          </cell>
          <cell r="G25">
            <v>2.18081173017005</v>
          </cell>
          <cell r="H25">
            <v>0.47560479745271256</v>
          </cell>
          <cell r="I25">
            <v>-0.38713124062175297</v>
          </cell>
          <cell r="J25">
            <v>0.47233533022039692</v>
          </cell>
        </row>
        <row r="26">
          <cell r="A26">
            <v>11</v>
          </cell>
          <cell r="B26" t="str">
            <v>Hawaii</v>
          </cell>
          <cell r="C26">
            <v>5.3</v>
          </cell>
          <cell r="D26">
            <v>46</v>
          </cell>
          <cell r="E26">
            <v>83</v>
          </cell>
          <cell r="F26">
            <v>20.2</v>
          </cell>
          <cell r="G26">
            <v>-0.57025906731467879</v>
          </cell>
          <cell r="H26">
            <v>-1.4842651247721508</v>
          </cell>
          <cell r="I26">
            <v>1.1879478502833594</v>
          </cell>
          <cell r="J26">
            <v>-0.12165557084503296</v>
          </cell>
        </row>
        <row r="27">
          <cell r="A27">
            <v>12</v>
          </cell>
          <cell r="B27" t="str">
            <v>Idaho</v>
          </cell>
          <cell r="C27">
            <v>2.6</v>
          </cell>
          <cell r="D27">
            <v>120</v>
          </cell>
          <cell r="E27">
            <v>54</v>
          </cell>
          <cell r="F27">
            <v>14.2</v>
          </cell>
          <cell r="G27">
            <v>-1.1841343692327586</v>
          </cell>
          <cell r="H27">
            <v>-0.60529315965312114</v>
          </cell>
          <cell r="I27">
            <v>-0.7980214382491736</v>
          </cell>
          <cell r="J27">
            <v>-0.75807439341513627</v>
          </cell>
        </row>
        <row r="28">
          <cell r="A28">
            <v>13</v>
          </cell>
          <cell r="B28" t="str">
            <v>Illinois</v>
          </cell>
          <cell r="C28">
            <v>10.4</v>
          </cell>
          <cell r="D28">
            <v>249</v>
          </cell>
          <cell r="E28">
            <v>83</v>
          </cell>
          <cell r="F28">
            <v>24</v>
          </cell>
          <cell r="G28">
            <v>0.58928316964169458</v>
          </cell>
          <cell r="H28">
            <v>0.92696877954086287</v>
          </cell>
          <cell r="I28">
            <v>1.1879478502833594</v>
          </cell>
          <cell r="J28">
            <v>0.28140968344936584</v>
          </cell>
        </row>
        <row r="29">
          <cell r="A29">
            <v>14</v>
          </cell>
          <cell r="B29" t="str">
            <v>Indiana</v>
          </cell>
          <cell r="C29">
            <v>7.2</v>
          </cell>
          <cell r="D29">
            <v>113</v>
          </cell>
          <cell r="E29">
            <v>65</v>
          </cell>
          <cell r="F29">
            <v>21</v>
          </cell>
          <cell r="G29">
            <v>-0.13827274374269652</v>
          </cell>
          <cell r="H29">
            <v>-0.68843915635356989</v>
          </cell>
          <cell r="I29">
            <v>-4.4722742598902486E-2</v>
          </cell>
          <cell r="J29">
            <v>-3.6799727835685789E-2</v>
          </cell>
        </row>
        <row r="30">
          <cell r="A30">
            <v>15</v>
          </cell>
          <cell r="B30" t="str">
            <v>Iowa</v>
          </cell>
          <cell r="C30">
            <v>2.2000000000000002</v>
          </cell>
          <cell r="D30">
            <v>56</v>
          </cell>
          <cell r="E30">
            <v>57</v>
          </cell>
          <cell r="F30">
            <v>11.3</v>
          </cell>
          <cell r="G30">
            <v>-1.2750788584058077</v>
          </cell>
          <cell r="H30">
            <v>-1.3654851294857955</v>
          </cell>
          <cell r="I30">
            <v>-0.59257633943546328</v>
          </cell>
          <cell r="J30">
            <v>-1.0656768243240193</v>
          </cell>
        </row>
        <row r="31">
          <cell r="A31">
            <v>16</v>
          </cell>
          <cell r="B31" t="str">
            <v>Kansas</v>
          </cell>
          <cell r="C31">
            <v>6</v>
          </cell>
          <cell r="D31">
            <v>115</v>
          </cell>
          <cell r="E31">
            <v>66</v>
          </cell>
          <cell r="F31">
            <v>18</v>
          </cell>
          <cell r="G31">
            <v>-0.41110621126184321</v>
          </cell>
          <cell r="H31">
            <v>-0.66468315729629879</v>
          </cell>
          <cell r="I31">
            <v>2.3758957005667613E-2</v>
          </cell>
          <cell r="J31">
            <v>-0.35500913912073745</v>
          </cell>
        </row>
        <row r="32">
          <cell r="A32">
            <v>17</v>
          </cell>
          <cell r="B32" t="str">
            <v>Kentucky</v>
          </cell>
          <cell r="C32">
            <v>9.6999999999999993</v>
          </cell>
          <cell r="D32">
            <v>109</v>
          </cell>
          <cell r="E32">
            <v>52</v>
          </cell>
          <cell r="F32">
            <v>16.3</v>
          </cell>
          <cell r="G32">
            <v>0.43013031358885884</v>
          </cell>
          <cell r="H32">
            <v>-0.73595115446811199</v>
          </cell>
          <cell r="I32">
            <v>-0.93498483745831384</v>
          </cell>
          <cell r="J32">
            <v>-0.5353278055156</v>
          </cell>
        </row>
        <row r="33">
          <cell r="A33">
            <v>18</v>
          </cell>
          <cell r="B33" t="str">
            <v>Louisiana</v>
          </cell>
          <cell r="C33">
            <v>15.4</v>
          </cell>
          <cell r="D33">
            <v>249</v>
          </cell>
          <cell r="E33">
            <v>66</v>
          </cell>
          <cell r="F33">
            <v>22.2</v>
          </cell>
          <cell r="G33">
            <v>1.7260892843048057</v>
          </cell>
          <cell r="H33">
            <v>0.92696877954086287</v>
          </cell>
          <cell r="I33">
            <v>2.3758957005667613E-2</v>
          </cell>
          <cell r="J33">
            <v>9.0484036678334795E-2</v>
          </cell>
        </row>
        <row r="34">
          <cell r="A34">
            <v>19</v>
          </cell>
          <cell r="B34" t="str">
            <v>Maine</v>
          </cell>
          <cell r="C34">
            <v>2.1</v>
          </cell>
          <cell r="D34">
            <v>83</v>
          </cell>
          <cell r="E34">
            <v>51</v>
          </cell>
          <cell r="F34">
            <v>7.8</v>
          </cell>
          <cell r="G34">
            <v>-1.2978149806990698</v>
          </cell>
          <cell r="H34">
            <v>-1.044779142212636</v>
          </cell>
          <cell r="I34">
            <v>-1.0034665370628839</v>
          </cell>
          <cell r="J34">
            <v>-1.4369211374899129</v>
          </cell>
        </row>
        <row r="35">
          <cell r="A35">
            <v>20</v>
          </cell>
          <cell r="B35" t="str">
            <v>Maryland</v>
          </cell>
          <cell r="C35">
            <v>11.3</v>
          </cell>
          <cell r="D35">
            <v>300</v>
          </cell>
          <cell r="E35">
            <v>67</v>
          </cell>
          <cell r="F35">
            <v>27.8</v>
          </cell>
          <cell r="G35">
            <v>0.79390827028105471</v>
          </cell>
          <cell r="H35">
            <v>1.5327467555012753</v>
          </cell>
          <cell r="I35">
            <v>9.2240656610237712E-2</v>
          </cell>
          <cell r="J35">
            <v>0.68447493774376467</v>
          </cell>
        </row>
        <row r="36">
          <cell r="A36">
            <v>21</v>
          </cell>
          <cell r="B36" t="str">
            <v>Massachusetts</v>
          </cell>
          <cell r="C36">
            <v>4.4000000000000004</v>
          </cell>
          <cell r="D36">
            <v>149</v>
          </cell>
          <cell r="E36">
            <v>85</v>
          </cell>
          <cell r="F36">
            <v>16.3</v>
          </cell>
          <cell r="G36">
            <v>-0.77488416795403869</v>
          </cell>
          <cell r="H36">
            <v>-0.26083117332269062</v>
          </cell>
          <cell r="I36">
            <v>1.3249112494924995</v>
          </cell>
          <cell r="J36">
            <v>-0.5353278055156</v>
          </cell>
        </row>
        <row r="37">
          <cell r="A37">
            <v>22</v>
          </cell>
          <cell r="B37" t="str">
            <v>Michigan</v>
          </cell>
          <cell r="C37">
            <v>12.1</v>
          </cell>
          <cell r="D37">
            <v>255</v>
          </cell>
          <cell r="E37">
            <v>74</v>
          </cell>
          <cell r="F37">
            <v>35.1</v>
          </cell>
          <cell r="G37">
            <v>0.97579724862715222</v>
          </cell>
          <cell r="H37">
            <v>0.99823677671267608</v>
          </cell>
          <cell r="I37">
            <v>0.57161255384222842</v>
          </cell>
          <cell r="J37">
            <v>1.4587845052040571</v>
          </cell>
        </row>
        <row r="38">
          <cell r="A38">
            <v>23</v>
          </cell>
          <cell r="B38" t="str">
            <v>Minnesota</v>
          </cell>
          <cell r="C38">
            <v>2.7</v>
          </cell>
          <cell r="D38">
            <v>72</v>
          </cell>
          <cell r="E38">
            <v>66</v>
          </cell>
          <cell r="F38">
            <v>14.9</v>
          </cell>
          <cell r="G38">
            <v>-1.1613982469394966</v>
          </cell>
          <cell r="H38">
            <v>-1.1754371370276269</v>
          </cell>
          <cell r="I38">
            <v>2.3758957005667613E-2</v>
          </cell>
          <cell r="J38">
            <v>-0.6838255307819574</v>
          </cell>
        </row>
        <row r="39">
          <cell r="A39">
            <v>24</v>
          </cell>
          <cell r="B39" t="str">
            <v>Mississippi</v>
          </cell>
          <cell r="C39">
            <v>16.100000000000001</v>
          </cell>
          <cell r="D39">
            <v>259</v>
          </cell>
          <cell r="E39">
            <v>44</v>
          </cell>
          <cell r="F39">
            <v>17.100000000000001</v>
          </cell>
          <cell r="G39">
            <v>1.8852421403576418</v>
          </cell>
          <cell r="H39">
            <v>1.0457487748272183</v>
          </cell>
          <cell r="I39">
            <v>-1.4828384342948746</v>
          </cell>
          <cell r="J39">
            <v>-0.45047196250625277</v>
          </cell>
        </row>
        <row r="40">
          <cell r="A40">
            <v>25</v>
          </cell>
          <cell r="B40" t="str">
            <v>Missouri</v>
          </cell>
          <cell r="C40">
            <v>9</v>
          </cell>
          <cell r="D40">
            <v>178</v>
          </cell>
          <cell r="E40">
            <v>70</v>
          </cell>
          <cell r="F40">
            <v>28.2</v>
          </cell>
          <cell r="G40">
            <v>0.27097745753602342</v>
          </cell>
          <cell r="H40">
            <v>8.3630813007739876E-2</v>
          </cell>
          <cell r="I40">
            <v>0.29768575542394804</v>
          </cell>
          <cell r="J40">
            <v>0.72690285924843812</v>
          </cell>
        </row>
        <row r="41">
          <cell r="A41">
            <v>26</v>
          </cell>
          <cell r="B41" t="str">
            <v>Montana</v>
          </cell>
          <cell r="C41">
            <v>6</v>
          </cell>
          <cell r="D41">
            <v>109</v>
          </cell>
          <cell r="E41">
            <v>53</v>
          </cell>
          <cell r="F41">
            <v>16.399999999999999</v>
          </cell>
          <cell r="G41">
            <v>-0.41110621126184321</v>
          </cell>
          <cell r="H41">
            <v>-0.73595115446811199</v>
          </cell>
          <cell r="I41">
            <v>-0.86650313785374367</v>
          </cell>
          <cell r="J41">
            <v>-0.52472082513943175</v>
          </cell>
        </row>
        <row r="42">
          <cell r="A42">
            <v>27</v>
          </cell>
          <cell r="B42" t="str">
            <v>Nebraska</v>
          </cell>
          <cell r="C42">
            <v>4.3</v>
          </cell>
          <cell r="D42">
            <v>102</v>
          </cell>
          <cell r="E42">
            <v>62</v>
          </cell>
          <cell r="F42">
            <v>16.5</v>
          </cell>
          <cell r="G42">
            <v>-0.79762029024730108</v>
          </cell>
          <cell r="H42">
            <v>-0.81909715116856074</v>
          </cell>
          <cell r="I42">
            <v>-0.25016784141261278</v>
          </cell>
          <cell r="J42">
            <v>-0.51411384476326327</v>
          </cell>
        </row>
        <row r="43">
          <cell r="A43">
            <v>28</v>
          </cell>
          <cell r="B43" t="str">
            <v>Nevada</v>
          </cell>
          <cell r="C43">
            <v>12.2</v>
          </cell>
          <cell r="D43">
            <v>252</v>
          </cell>
          <cell r="E43">
            <v>81</v>
          </cell>
          <cell r="F43">
            <v>46</v>
          </cell>
          <cell r="G43">
            <v>0.99853337092041439</v>
          </cell>
          <cell r="H43">
            <v>0.96260277812676953</v>
          </cell>
          <cell r="I43">
            <v>1.0509844510742192</v>
          </cell>
          <cell r="J43">
            <v>2.614945366206411</v>
          </cell>
        </row>
        <row r="44">
          <cell r="A44">
            <v>29</v>
          </cell>
          <cell r="B44" t="str">
            <v>New Hampshire</v>
          </cell>
          <cell r="C44">
            <v>2.1</v>
          </cell>
          <cell r="D44">
            <v>57</v>
          </cell>
          <cell r="E44">
            <v>56</v>
          </cell>
          <cell r="F44">
            <v>9.5</v>
          </cell>
          <cell r="G44">
            <v>-1.2978149806990698</v>
          </cell>
          <cell r="H44">
            <v>-1.3536071299571599</v>
          </cell>
          <cell r="I44">
            <v>-0.66105803904003335</v>
          </cell>
          <cell r="J44">
            <v>-1.2566024710950505</v>
          </cell>
        </row>
        <row r="45">
          <cell r="A45">
            <v>30</v>
          </cell>
          <cell r="B45" t="str">
            <v>New Jersey</v>
          </cell>
          <cell r="C45">
            <v>7.4</v>
          </cell>
          <cell r="D45">
            <v>159</v>
          </cell>
          <cell r="E45">
            <v>89</v>
          </cell>
          <cell r="F45">
            <v>18.8</v>
          </cell>
          <cell r="G45">
            <v>-9.2800499156172028E-2</v>
          </cell>
          <cell r="H45">
            <v>-0.1420511780363353</v>
          </cell>
          <cell r="I45">
            <v>1.59883804791078</v>
          </cell>
          <cell r="J45">
            <v>-0.27015329611139027</v>
          </cell>
        </row>
        <row r="46">
          <cell r="A46">
            <v>31</v>
          </cell>
          <cell r="B46" t="str">
            <v>New Mexico</v>
          </cell>
          <cell r="C46">
            <v>11.4</v>
          </cell>
          <cell r="D46">
            <v>285</v>
          </cell>
          <cell r="E46">
            <v>70</v>
          </cell>
          <cell r="F46">
            <v>32.1</v>
          </cell>
          <cell r="G46">
            <v>0.81664439257431687</v>
          </cell>
          <cell r="H46">
            <v>1.3545767625717422</v>
          </cell>
          <cell r="I46">
            <v>0.29768575542394804</v>
          </cell>
          <cell r="J46">
            <v>1.1405750939190054</v>
          </cell>
        </row>
        <row r="47">
          <cell r="A47">
            <v>32</v>
          </cell>
          <cell r="B47" t="str">
            <v>New York</v>
          </cell>
          <cell r="C47">
            <v>11.1</v>
          </cell>
          <cell r="D47">
            <v>254</v>
          </cell>
          <cell r="E47">
            <v>86</v>
          </cell>
          <cell r="F47">
            <v>26.1</v>
          </cell>
          <cell r="G47">
            <v>0.74843602569453005</v>
          </cell>
          <cell r="H47">
            <v>0.98635877718404052</v>
          </cell>
          <cell r="I47">
            <v>1.3933929490970696</v>
          </cell>
          <cell r="J47">
            <v>0.50415627134890217</v>
          </cell>
        </row>
        <row r="48">
          <cell r="A48">
            <v>33</v>
          </cell>
          <cell r="B48" t="str">
            <v>North Carolina</v>
          </cell>
          <cell r="C48">
            <v>13</v>
          </cell>
          <cell r="D48">
            <v>337</v>
          </cell>
          <cell r="E48">
            <v>45</v>
          </cell>
          <cell r="F48">
            <v>16.100000000000001</v>
          </cell>
          <cell r="G48">
            <v>1.1804223492665122</v>
          </cell>
          <cell r="H48">
            <v>1.97223273806079</v>
          </cell>
          <cell r="I48">
            <v>-1.4143567346903045</v>
          </cell>
          <cell r="J48">
            <v>-0.55654176626793661</v>
          </cell>
        </row>
        <row r="49">
          <cell r="A49">
            <v>34</v>
          </cell>
          <cell r="B49" t="str">
            <v>North Dakota</v>
          </cell>
          <cell r="C49">
            <v>0.8</v>
          </cell>
          <cell r="D49">
            <v>45</v>
          </cell>
          <cell r="E49">
            <v>44</v>
          </cell>
          <cell r="F49">
            <v>7.3</v>
          </cell>
          <cell r="G49">
            <v>-1.5933845705114789</v>
          </cell>
          <cell r="H49">
            <v>-1.4961431243007863</v>
          </cell>
          <cell r="I49">
            <v>-1.4828384342948746</v>
          </cell>
          <cell r="J49">
            <v>-1.4899560393707549</v>
          </cell>
        </row>
        <row r="50">
          <cell r="A50">
            <v>35</v>
          </cell>
          <cell r="B50" t="str">
            <v>Ohio</v>
          </cell>
          <cell r="C50">
            <v>7.3</v>
          </cell>
          <cell r="D50">
            <v>120</v>
          </cell>
          <cell r="E50">
            <v>75</v>
          </cell>
          <cell r="F50">
            <v>21.4</v>
          </cell>
          <cell r="G50">
            <v>-0.11553662144943437</v>
          </cell>
          <cell r="H50">
            <v>-0.60529315965312114</v>
          </cell>
          <cell r="I50">
            <v>0.64009425344679849</v>
          </cell>
          <cell r="J50">
            <v>5.6281936689876111E-3</v>
          </cell>
        </row>
        <row r="51">
          <cell r="A51">
            <v>36</v>
          </cell>
          <cell r="B51" t="str">
            <v>Oklahoma</v>
          </cell>
          <cell r="C51">
            <v>6.6</v>
          </cell>
          <cell r="D51">
            <v>151</v>
          </cell>
          <cell r="E51">
            <v>68</v>
          </cell>
          <cell r="F51">
            <v>20</v>
          </cell>
          <cell r="G51">
            <v>-0.27468947750226996</v>
          </cell>
          <cell r="H51">
            <v>-0.23707517426541957</v>
          </cell>
          <cell r="I51">
            <v>0.16072235621480782</v>
          </cell>
          <cell r="J51">
            <v>-0.14286953159736968</v>
          </cell>
        </row>
        <row r="52">
          <cell r="A52">
            <v>37</v>
          </cell>
          <cell r="B52" t="str">
            <v>Oregon</v>
          </cell>
          <cell r="C52">
            <v>4.9000000000000004</v>
          </cell>
          <cell r="D52">
            <v>159</v>
          </cell>
          <cell r="E52">
            <v>67</v>
          </cell>
          <cell r="F52">
            <v>29.3</v>
          </cell>
          <cell r="G52">
            <v>-0.66120355648772755</v>
          </cell>
          <cell r="H52">
            <v>-0.1420511780363353</v>
          </cell>
          <cell r="I52">
            <v>9.2240656610237712E-2</v>
          </cell>
          <cell r="J52">
            <v>0.84357964338629043</v>
          </cell>
        </row>
        <row r="53">
          <cell r="A53">
            <v>38</v>
          </cell>
          <cell r="B53" t="str">
            <v>Pennsylvania</v>
          </cell>
          <cell r="C53">
            <v>6.3</v>
          </cell>
          <cell r="D53">
            <v>106</v>
          </cell>
          <cell r="E53">
            <v>72</v>
          </cell>
          <cell r="F53">
            <v>14.9</v>
          </cell>
          <cell r="G53">
            <v>-0.34289784438205662</v>
          </cell>
          <cell r="H53">
            <v>-0.77158515305401865</v>
          </cell>
          <cell r="I53">
            <v>0.43464915463308823</v>
          </cell>
          <cell r="J53">
            <v>-0.6838255307819574</v>
          </cell>
        </row>
        <row r="54">
          <cell r="A54">
            <v>39</v>
          </cell>
          <cell r="B54" t="str">
            <v>Rhode Island</v>
          </cell>
          <cell r="C54">
            <v>3.4</v>
          </cell>
          <cell r="D54">
            <v>174</v>
          </cell>
          <cell r="E54">
            <v>87</v>
          </cell>
          <cell r="F54">
            <v>8.3000000000000007</v>
          </cell>
          <cell r="G54">
            <v>-1.0022453908866611</v>
          </cell>
          <cell r="H54">
            <v>3.6118814893197744E-2</v>
          </cell>
          <cell r="I54">
            <v>1.4618746487016396</v>
          </cell>
          <cell r="J54">
            <v>-1.3838862356090711</v>
          </cell>
        </row>
        <row r="55">
          <cell r="A55">
            <v>40</v>
          </cell>
          <cell r="B55" t="str">
            <v>South Carolina</v>
          </cell>
          <cell r="C55">
            <v>14.4</v>
          </cell>
          <cell r="D55">
            <v>279</v>
          </cell>
          <cell r="E55">
            <v>48</v>
          </cell>
          <cell r="F55">
            <v>22.5</v>
          </cell>
          <cell r="G55">
            <v>1.4987280613721834</v>
          </cell>
          <cell r="H55">
            <v>1.2833087653999289</v>
          </cell>
          <cell r="I55">
            <v>-1.2089116358765941</v>
          </cell>
          <cell r="J55">
            <v>0.12230497780684003</v>
          </cell>
        </row>
        <row r="56">
          <cell r="A56">
            <v>41</v>
          </cell>
          <cell r="B56" t="str">
            <v>South Dakota</v>
          </cell>
          <cell r="C56">
            <v>3.8</v>
          </cell>
          <cell r="D56">
            <v>86</v>
          </cell>
          <cell r="E56">
            <v>45</v>
          </cell>
          <cell r="F56">
            <v>12.8</v>
          </cell>
          <cell r="G56">
            <v>-0.91130090171361211</v>
          </cell>
          <cell r="H56">
            <v>-1.0091451436267294</v>
          </cell>
          <cell r="I56">
            <v>-1.4143567346903045</v>
          </cell>
          <cell r="J56">
            <v>-0.90657211868149357</v>
          </cell>
        </row>
        <row r="57">
          <cell r="A57">
            <v>42</v>
          </cell>
          <cell r="B57" t="str">
            <v>Tennessee</v>
          </cell>
          <cell r="C57">
            <v>13.2</v>
          </cell>
          <cell r="D57">
            <v>188</v>
          </cell>
          <cell r="E57">
            <v>59</v>
          </cell>
          <cell r="F57">
            <v>26.9</v>
          </cell>
          <cell r="G57">
            <v>1.2258945938530366</v>
          </cell>
          <cell r="H57">
            <v>0.20241080829409525</v>
          </cell>
          <cell r="I57">
            <v>-0.45561294022632309</v>
          </cell>
          <cell r="J57">
            <v>0.58901211435824896</v>
          </cell>
        </row>
        <row r="58">
          <cell r="A58">
            <v>43</v>
          </cell>
          <cell r="B58" t="str">
            <v>Texas</v>
          </cell>
          <cell r="C58">
            <v>12.7</v>
          </cell>
          <cell r="D58">
            <v>201</v>
          </cell>
          <cell r="E58">
            <v>80</v>
          </cell>
          <cell r="F58">
            <v>25.5</v>
          </cell>
          <cell r="G58">
            <v>1.1122139823867254</v>
          </cell>
          <cell r="H58">
            <v>0.3568248021663572</v>
          </cell>
          <cell r="I58">
            <v>0.98250275146964905</v>
          </cell>
          <cell r="J58">
            <v>0.44051438909189167</v>
          </cell>
        </row>
        <row r="59">
          <cell r="A59">
            <v>44</v>
          </cell>
          <cell r="B59" t="str">
            <v>Utah</v>
          </cell>
          <cell r="C59">
            <v>3.2</v>
          </cell>
          <cell r="D59">
            <v>120</v>
          </cell>
          <cell r="E59">
            <v>80</v>
          </cell>
          <cell r="F59">
            <v>22.9</v>
          </cell>
          <cell r="G59">
            <v>-1.0477176354731854</v>
          </cell>
          <cell r="H59">
            <v>-0.60529315965312114</v>
          </cell>
          <cell r="I59">
            <v>0.98250275146964905</v>
          </cell>
          <cell r="J59">
            <v>0.16473289931151344</v>
          </cell>
        </row>
        <row r="60">
          <cell r="A60">
            <v>45</v>
          </cell>
          <cell r="B60" t="str">
            <v>Vermont</v>
          </cell>
          <cell r="C60">
            <v>2.2000000000000002</v>
          </cell>
          <cell r="D60">
            <v>48</v>
          </cell>
          <cell r="E60">
            <v>32</v>
          </cell>
          <cell r="F60">
            <v>11.2</v>
          </cell>
          <cell r="G60">
            <v>-1.2750788584058077</v>
          </cell>
          <cell r="H60">
            <v>-1.4605091257148797</v>
          </cell>
          <cell r="I60">
            <v>-2.3046188295497156</v>
          </cell>
          <cell r="J60">
            <v>-1.0762838047001879</v>
          </cell>
        </row>
        <row r="61">
          <cell r="A61">
            <v>46</v>
          </cell>
          <cell r="B61" t="str">
            <v>Virginia</v>
          </cell>
          <cell r="C61">
            <v>8.5</v>
          </cell>
          <cell r="D61">
            <v>156</v>
          </cell>
          <cell r="E61">
            <v>63</v>
          </cell>
          <cell r="F61">
            <v>20.7</v>
          </cell>
          <cell r="G61">
            <v>0.15729684606971234</v>
          </cell>
          <cell r="H61">
            <v>-0.1776851766222419</v>
          </cell>
          <cell r="I61">
            <v>-0.18168614180804268</v>
          </cell>
          <cell r="J61">
            <v>-6.8620668964191028E-2</v>
          </cell>
        </row>
        <row r="62">
          <cell r="A62">
            <v>47</v>
          </cell>
          <cell r="B62" t="str">
            <v>Washington</v>
          </cell>
          <cell r="C62">
            <v>4</v>
          </cell>
          <cell r="D62">
            <v>145</v>
          </cell>
          <cell r="E62">
            <v>73</v>
          </cell>
          <cell r="F62">
            <v>26.2</v>
          </cell>
          <cell r="G62">
            <v>-0.86582865712708768</v>
          </cell>
          <cell r="H62">
            <v>-0.30834317143723278</v>
          </cell>
          <cell r="I62">
            <v>0.50313085423765835</v>
          </cell>
          <cell r="J62">
            <v>0.51476325172507031</v>
          </cell>
        </row>
        <row r="63">
          <cell r="A63">
            <v>48</v>
          </cell>
          <cell r="B63" t="str">
            <v>West Virginia</v>
          </cell>
          <cell r="C63">
            <v>5.7</v>
          </cell>
          <cell r="D63">
            <v>81</v>
          </cell>
          <cell r="E63">
            <v>39</v>
          </cell>
          <cell r="F63">
            <v>9.3000000000000007</v>
          </cell>
          <cell r="G63">
            <v>-0.47931457814162987</v>
          </cell>
          <cell r="H63">
            <v>-1.0685351412699071</v>
          </cell>
          <cell r="I63">
            <v>-1.8252469323177252</v>
          </cell>
          <cell r="J63">
            <v>-1.277816431847387</v>
          </cell>
        </row>
        <row r="64">
          <cell r="A64">
            <v>49</v>
          </cell>
          <cell r="B64" t="str">
            <v>Wisconsin</v>
          </cell>
          <cell r="C64">
            <v>2.6</v>
          </cell>
          <cell r="D64">
            <v>53</v>
          </cell>
          <cell r="E64">
            <v>66</v>
          </cell>
          <cell r="F64">
            <v>10.8</v>
          </cell>
          <cell r="G64">
            <v>-1.1841343692327586</v>
          </cell>
          <cell r="H64">
            <v>-1.4011191280717019</v>
          </cell>
          <cell r="I64">
            <v>2.3758957005667613E-2</v>
          </cell>
          <cell r="J64">
            <v>-1.1187117262048614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002_ACP_DS"/>
      <sheetName val="USArrest"/>
      <sheetName val="ACP"/>
      <sheetName val="AMBOS PLANOS"/>
      <sheetName val="MATRIZ"/>
    </sheetNames>
    <sheetDataSet>
      <sheetData sheetId="0">
        <row r="3">
          <cell r="I3">
            <v>0.26358272556401252</v>
          </cell>
          <cell r="J3">
            <v>0.71477442964073079</v>
          </cell>
          <cell r="K3">
            <v>2.377194201995386</v>
          </cell>
        </row>
        <row r="4">
          <cell r="I4">
            <v>-0.76001576709121954</v>
          </cell>
          <cell r="J4">
            <v>-0.58581817639194922</v>
          </cell>
          <cell r="K4">
            <v>-2.9583116713757205</v>
          </cell>
        </row>
        <row r="5">
          <cell r="I5">
            <v>4.348660550266531E-3</v>
          </cell>
          <cell r="J5">
            <v>-0.34363363072505915</v>
          </cell>
          <cell r="K5">
            <v>-2.777301878198541</v>
          </cell>
        </row>
        <row r="6">
          <cell r="I6">
            <v>1.6541276032373564</v>
          </cell>
          <cell r="J6">
            <v>-1.5798590695731831</v>
          </cell>
          <cell r="K6">
            <v>1.5245762601708652</v>
          </cell>
        </row>
        <row r="7">
          <cell r="I7">
            <v>-0.98534678637283746</v>
          </cell>
          <cell r="J7">
            <v>-0.5700870013004391</v>
          </cell>
          <cell r="K7">
            <v>-4.4020669785806987E-3</v>
          </cell>
          <cell r="M7">
            <v>1.5402719626006163</v>
          </cell>
          <cell r="N7">
            <v>-1.0682326491227214</v>
          </cell>
          <cell r="O7">
            <v>4.6114608305258514E-2</v>
          </cell>
        </row>
        <row r="8">
          <cell r="I8">
            <v>-1.1429956658710074</v>
          </cell>
          <cell r="J8">
            <v>-0.49914141074811913</v>
          </cell>
          <cell r="K8">
            <v>1.6527970196236552</v>
          </cell>
          <cell r="M8">
            <v>-1.0682326491227214</v>
          </cell>
          <cell r="N8">
            <v>2.2215449677499874</v>
          </cell>
          <cell r="O8">
            <v>0.50936025334248536</v>
          </cell>
        </row>
        <row r="9">
          <cell r="F9">
            <v>100</v>
          </cell>
          <cell r="I9">
            <v>2.0898711277247664</v>
          </cell>
          <cell r="J9">
            <v>-2.8501361438160413</v>
          </cell>
          <cell r="K9">
            <v>0.81293690928662921</v>
          </cell>
          <cell r="M9">
            <v>4.6114608305258514E-2</v>
          </cell>
          <cell r="N9">
            <v>0.50936025334248536</v>
          </cell>
          <cell r="O9">
            <v>2.879812124281941</v>
          </cell>
        </row>
        <row r="10">
          <cell r="I10">
            <v>1.8555267695174567</v>
          </cell>
          <cell r="J10">
            <v>-2.7147556633394303</v>
          </cell>
          <cell r="K10">
            <v>-0.40319154981770078</v>
          </cell>
        </row>
        <row r="11">
          <cell r="I11">
            <v>-0.77132257763273848</v>
          </cell>
          <cell r="J11">
            <v>1.2963270339930308</v>
          </cell>
          <cell r="K11">
            <v>2.0481349097798622</v>
          </cell>
        </row>
        <row r="12">
          <cell r="I12">
            <v>5.5919462916795531E-2</v>
          </cell>
          <cell r="J12">
            <v>-1.4771027324132442</v>
          </cell>
          <cell r="K12">
            <v>-1.2031983632394607</v>
          </cell>
          <cell r="M12">
            <v>1.2410769366161858</v>
          </cell>
          <cell r="N12">
            <v>0</v>
          </cell>
          <cell r="O12">
            <v>0</v>
          </cell>
        </row>
        <row r="13">
          <cell r="I13">
            <v>0.80040120890091249</v>
          </cell>
          <cell r="J13">
            <v>-2.4648701789291612</v>
          </cell>
          <cell r="K13">
            <v>-2.0942773061824007</v>
          </cell>
          <cell r="M13">
            <v>0</v>
          </cell>
          <cell r="N13">
            <v>1.4904848096340959</v>
          </cell>
          <cell r="O13">
            <v>0</v>
          </cell>
        </row>
        <row r="14">
          <cell r="I14">
            <v>0.83360912023285638</v>
          </cell>
          <cell r="J14">
            <v>0.38204468578591078</v>
          </cell>
          <cell r="K14">
            <v>0.28438543729697918</v>
          </cell>
          <cell r="M14">
            <v>0</v>
          </cell>
          <cell r="N14">
            <v>0</v>
          </cell>
          <cell r="O14">
            <v>1.69700092053067</v>
          </cell>
        </row>
        <row r="15">
          <cell r="I15">
            <v>-1.1688192647156184</v>
          </cell>
          <cell r="J15">
            <v>1.0202102465185909</v>
          </cell>
          <cell r="K15">
            <v>-3.9611364055454512</v>
          </cell>
        </row>
        <row r="16">
          <cell r="I16">
            <v>5.6434759046035121E-3</v>
          </cell>
          <cell r="J16">
            <v>5.9425225009680727E-2</v>
          </cell>
          <cell r="K16">
            <v>-0.98995404863827074</v>
          </cell>
          <cell r="M16">
            <v>0.80575181964666465</v>
          </cell>
          <cell r="N16">
            <v>0</v>
          </cell>
          <cell r="O16">
            <v>0</v>
          </cell>
        </row>
        <row r="17">
          <cell r="I17">
            <v>-0.10498263546899109</v>
          </cell>
          <cell r="J17">
            <v>1.1520082922604407</v>
          </cell>
          <cell r="K17">
            <v>2.4598884818902551</v>
          </cell>
          <cell r="M17">
            <v>0</v>
          </cell>
          <cell r="N17">
            <v>0.67092263774596494</v>
          </cell>
          <cell r="O17">
            <v>0</v>
          </cell>
        </row>
        <row r="18">
          <cell r="I18">
            <v>-0.39715731506423446</v>
          </cell>
          <cell r="J18">
            <v>-0.13472482629644933</v>
          </cell>
          <cell r="K18">
            <v>-1.5054611766324406</v>
          </cell>
          <cell r="M18">
            <v>0</v>
          </cell>
          <cell r="N18">
            <v>0</v>
          </cell>
          <cell r="O18">
            <v>0.58927487186470673</v>
          </cell>
        </row>
        <row r="19">
          <cell r="I19">
            <v>5.8017347655162532E-2</v>
          </cell>
          <cell r="J19">
            <v>-0.28379653847433906</v>
          </cell>
          <cell r="K19">
            <v>5.2614057016159288E-2</v>
          </cell>
        </row>
        <row r="20">
          <cell r="I20">
            <v>-0.59406062026127349</v>
          </cell>
          <cell r="J20">
            <v>1.8361944041522706</v>
          </cell>
          <cell r="K20">
            <v>-1.2426594271679807</v>
          </cell>
        </row>
        <row r="21">
          <cell r="I21">
            <v>1.4929101333022166</v>
          </cell>
          <cell r="J21">
            <v>-2.584787913538797</v>
          </cell>
          <cell r="K21">
            <v>-1.056565021251521</v>
          </cell>
        </row>
        <row r="22">
          <cell r="I22">
            <v>2.4554692052584963</v>
          </cell>
          <cell r="J22">
            <v>-3.0009293051532562</v>
          </cell>
          <cell r="K22">
            <v>2.1081273660147071</v>
          </cell>
        </row>
        <row r="23">
          <cell r="I23">
            <v>-0.69158669258967753</v>
          </cell>
          <cell r="J23">
            <v>0.78079807769559073</v>
          </cell>
          <cell r="K23">
            <v>-0.39973691569086078</v>
          </cell>
        </row>
        <row r="24">
          <cell r="I24">
            <v>-0.27539648288576346</v>
          </cell>
          <cell r="J24">
            <v>-0.57172053344401919</v>
          </cell>
          <cell r="K24">
            <v>0.8120341167167191</v>
          </cell>
        </row>
        <row r="25">
          <cell r="I25">
            <v>-3.7641153296614493E-2</v>
          </cell>
          <cell r="J25">
            <v>2.5996540744195409</v>
          </cell>
          <cell r="K25">
            <v>1.9183426760636042</v>
          </cell>
        </row>
        <row r="26">
          <cell r="I26">
            <v>-0.48755912767201748</v>
          </cell>
          <cell r="J26">
            <v>-0.17342382398939904</v>
          </cell>
          <cell r="K26">
            <v>0.58885583892701931</v>
          </cell>
        </row>
        <row r="27">
          <cell r="I27">
            <v>0.40828970139903153</v>
          </cell>
          <cell r="J27">
            <v>0.76122843990342082</v>
          </cell>
          <cell r="K27">
            <v>-1.288854310743381</v>
          </cell>
        </row>
        <row r="28">
          <cell r="I28">
            <v>-0.54043355514986646</v>
          </cell>
          <cell r="J28">
            <v>-0.57112940709335924</v>
          </cell>
          <cell r="K28">
            <v>0.24539941343296912</v>
          </cell>
        </row>
        <row r="29">
          <cell r="I29">
            <v>-1.0794004521063505</v>
          </cell>
          <cell r="J29">
            <v>1.284999105063521</v>
          </cell>
          <cell r="K29">
            <v>2.0362428453092871</v>
          </cell>
        </row>
        <row r="30">
          <cell r="I30">
            <v>-0.11134235885598379</v>
          </cell>
          <cell r="J30">
            <v>2.2565856906720905</v>
          </cell>
          <cell r="K30">
            <v>0.15571086472129925</v>
          </cell>
        </row>
        <row r="31">
          <cell r="I31">
            <v>0.63959237222442644</v>
          </cell>
          <cell r="J31">
            <v>1.0498531138098106</v>
          </cell>
          <cell r="K31">
            <v>-1.524182404436361</v>
          </cell>
        </row>
        <row r="32">
          <cell r="I32">
            <v>-0.38806978950688348</v>
          </cell>
          <cell r="J32">
            <v>0.90122198392343078</v>
          </cell>
          <cell r="K32">
            <v>-0.40953029767812099</v>
          </cell>
        </row>
        <row r="33">
          <cell r="I33">
            <v>0.32328827656431947</v>
          </cell>
          <cell r="J33">
            <v>0.37854766726693079</v>
          </cell>
          <cell r="K33">
            <v>-1.4357308669320008</v>
          </cell>
        </row>
        <row r="34">
          <cell r="I34">
            <v>1.4616073035503065</v>
          </cell>
          <cell r="J34">
            <v>-1.2615791133954992</v>
          </cell>
          <cell r="K34">
            <v>0.46036487803867931</v>
          </cell>
        </row>
        <row r="35">
          <cell r="I35">
            <v>2.2320747142405506E-2</v>
          </cell>
          <cell r="J35">
            <v>1.3546334951435108</v>
          </cell>
          <cell r="K35">
            <v>-2.4419842195774004</v>
          </cell>
        </row>
        <row r="36">
          <cell r="I36">
            <v>-8.2359331192135579E-2</v>
          </cell>
          <cell r="J36">
            <v>0.70903084910770087</v>
          </cell>
          <cell r="K36">
            <v>0.10552252453224931</v>
          </cell>
        </row>
        <row r="37">
          <cell r="I37">
            <v>1.0295212836054666</v>
          </cell>
          <cell r="J37">
            <v>-4.3706472012492448E-3</v>
          </cell>
          <cell r="K37">
            <v>1.4248832422193762</v>
          </cell>
        </row>
        <row r="38">
          <cell r="I38">
            <v>-1.1379565819441615</v>
          </cell>
          <cell r="J38">
            <v>1.1373501152924907</v>
          </cell>
          <cell r="K38">
            <v>1.2993481421479132</v>
          </cell>
        </row>
        <row r="39">
          <cell r="I39">
            <v>1.4039482906505196E-3</v>
          </cell>
          <cell r="J39">
            <v>-0.18862339037963904</v>
          </cell>
          <cell r="K39">
            <v>1.3260264930826851</v>
          </cell>
        </row>
        <row r="40">
          <cell r="I40">
            <v>-0.73884590783691251</v>
          </cell>
          <cell r="J40">
            <v>2.4820888695394308</v>
          </cell>
          <cell r="K40">
            <v>-2.6804861490260734E-2</v>
          </cell>
        </row>
        <row r="41">
          <cell r="I41">
            <v>-1.4231459867126235</v>
          </cell>
          <cell r="J41">
            <v>-5.5646284972379334E-2</v>
          </cell>
          <cell r="K41">
            <v>0.40344099797601918</v>
          </cell>
        </row>
        <row r="42">
          <cell r="I42">
            <v>1.0323526350795864</v>
          </cell>
          <cell r="J42">
            <v>-1.9528364314744902</v>
          </cell>
          <cell r="K42">
            <v>6.4419629152369096E-2</v>
          </cell>
        </row>
        <row r="43">
          <cell r="I43">
            <v>1.3578913356299265</v>
          </cell>
          <cell r="J43">
            <v>0.55526039521230075</v>
          </cell>
          <cell r="K43">
            <v>0.8113630270778891</v>
          </cell>
        </row>
        <row r="44">
          <cell r="I44">
            <v>-0.4044975294836225</v>
          </cell>
          <cell r="J44">
            <v>1.2919185511259408</v>
          </cell>
          <cell r="K44">
            <v>-1.9530163177679207</v>
          </cell>
        </row>
        <row r="45">
          <cell r="I45">
            <v>-1.4167882673018835</v>
          </cell>
          <cell r="J45">
            <v>0.14478614687275071</v>
          </cell>
          <cell r="K45">
            <v>0.92881392355443826</v>
          </cell>
        </row>
        <row r="46">
          <cell r="I46">
            <v>2.2113639992369767</v>
          </cell>
          <cell r="J46">
            <v>-1.1761356734904491</v>
          </cell>
          <cell r="K46">
            <v>1.8825461416835108</v>
          </cell>
        </row>
        <row r="47">
          <cell r="I47">
            <v>-1.3462734929894635</v>
          </cell>
          <cell r="J47">
            <v>2.657633263481431</v>
          </cell>
          <cell r="K47">
            <v>0.72762808115757927</v>
          </cell>
        </row>
        <row r="48">
          <cell r="I48">
            <v>-0.18685059633078677</v>
          </cell>
          <cell r="J48">
            <v>-0.77331313740840923</v>
          </cell>
          <cell r="K48">
            <v>-1.0349157127097506</v>
          </cell>
        </row>
        <row r="49">
          <cell r="I49">
            <v>-0.72113984218924854</v>
          </cell>
          <cell r="J49">
            <v>-0.73323502926777917</v>
          </cell>
          <cell r="K49">
            <v>0.66248256232111924</v>
          </cell>
        </row>
        <row r="50">
          <cell r="I50">
            <v>2.0076452481914666</v>
          </cell>
          <cell r="J50">
            <v>0.41247199441745064</v>
          </cell>
          <cell r="K50">
            <v>0.63644070443348921</v>
          </cell>
        </row>
        <row r="51">
          <cell r="I51">
            <v>0.21570080953443152</v>
          </cell>
          <cell r="J51">
            <v>2.0919588369350111</v>
          </cell>
          <cell r="K51">
            <v>5.2747332133709302E-2</v>
          </cell>
        </row>
        <row r="52">
          <cell r="I52">
            <v>1.0617699072586766</v>
          </cell>
          <cell r="J52">
            <v>-0.82803868556274929</v>
          </cell>
          <cell r="K52">
            <v>-1.1652315577508308</v>
          </cell>
        </row>
        <row r="53">
          <cell r="I53">
            <v>-0.52995271653686249</v>
          </cell>
          <cell r="J53">
            <v>1.2081844738427008</v>
          </cell>
          <cell r="K53">
            <v>2.1102226547449932</v>
          </cell>
        </row>
        <row r="54">
          <cell r="I54">
            <v>0.13129779321652155</v>
          </cell>
          <cell r="J54">
            <v>-0.46813064737004928</v>
          </cell>
          <cell r="K54">
            <v>0.29433804934272922</v>
          </cell>
        </row>
        <row r="55">
          <cell r="I55">
            <v>0.22003435699888854</v>
          </cell>
          <cell r="J55">
            <v>-0.88542150358616922</v>
          </cell>
          <cell r="K55">
            <v>2.3257249238535174</v>
          </cell>
        </row>
        <row r="56">
          <cell r="I56">
            <v>-2.0287018018291834</v>
          </cell>
          <cell r="J56">
            <v>1.3174093912216907</v>
          </cell>
          <cell r="K56">
            <v>2.4500780284433543</v>
          </cell>
        </row>
        <row r="57">
          <cell r="I57">
            <v>-0.24892575462196148</v>
          </cell>
          <cell r="J57">
            <v>-1.5001043055026761</v>
          </cell>
          <cell r="K57">
            <v>-0.58310130653573067</v>
          </cell>
        </row>
        <row r="58">
          <cell r="I58">
            <v>-9.1456448699346979E-2</v>
          </cell>
          <cell r="J58">
            <v>0.67627413977167095</v>
          </cell>
          <cell r="K58">
            <v>-0.71872039876813076</v>
          </cell>
        </row>
        <row r="59">
          <cell r="I59">
            <v>-2.1636105399974035</v>
          </cell>
          <cell r="J59">
            <v>1.9485517085108208</v>
          </cell>
          <cell r="K59">
            <v>1.1259769495833591</v>
          </cell>
        </row>
        <row r="60">
          <cell r="I60">
            <v>0.14598728894337051</v>
          </cell>
          <cell r="J60">
            <v>1.5609712137684406</v>
          </cell>
          <cell r="K60">
            <v>1.1938978254812471</v>
          </cell>
        </row>
        <row r="61">
          <cell r="I61">
            <v>0.45648189614158852</v>
          </cell>
          <cell r="J61">
            <v>-0.78033059401007909</v>
          </cell>
          <cell r="K61">
            <v>-1.791197225431751</v>
          </cell>
        </row>
        <row r="62">
          <cell r="I62">
            <v>2.3861106050706664</v>
          </cell>
          <cell r="J62">
            <v>-1.2022897958056291</v>
          </cell>
          <cell r="K62">
            <v>1.9462187000408639</v>
          </cell>
        </row>
        <row r="63">
          <cell r="I63">
            <v>-1.5271243994826935</v>
          </cell>
          <cell r="J63">
            <v>0.95546151039201099</v>
          </cell>
          <cell r="K63">
            <v>-0.32916244544033058</v>
          </cell>
        </row>
        <row r="64">
          <cell r="I64">
            <v>0.32218370786532657</v>
          </cell>
          <cell r="J64">
            <v>2.1069019858590607</v>
          </cell>
          <cell r="K64">
            <v>3.6116838087508492</v>
          </cell>
        </row>
        <row r="65">
          <cell r="I65">
            <v>0.74827290687466752</v>
          </cell>
          <cell r="J65">
            <v>0.95750654022681081</v>
          </cell>
          <cell r="K65">
            <v>-2.0231612939392707</v>
          </cell>
        </row>
        <row r="66">
          <cell r="I66">
            <v>0.86579784824604644</v>
          </cell>
          <cell r="J66">
            <v>-1.4236532340552741</v>
          </cell>
          <cell r="K66">
            <v>-2.1936484689151508</v>
          </cell>
        </row>
        <row r="67">
          <cell r="I67">
            <v>0.51313671545401351</v>
          </cell>
          <cell r="J67">
            <v>1.3068395958059607</v>
          </cell>
          <cell r="K67">
            <v>1.8936415065975423</v>
          </cell>
        </row>
        <row r="68">
          <cell r="I68">
            <v>0.39325548672136545</v>
          </cell>
          <cell r="J68">
            <v>-1.2511410253829891</v>
          </cell>
          <cell r="K68">
            <v>2.1590194338305033</v>
          </cell>
        </row>
        <row r="69">
          <cell r="I69">
            <v>0.72541577342634544</v>
          </cell>
          <cell r="J69">
            <v>-2.7105802388613354</v>
          </cell>
          <cell r="K69">
            <v>-0.75432436554954085</v>
          </cell>
        </row>
        <row r="70">
          <cell r="I70">
            <v>2.0878950008275963</v>
          </cell>
          <cell r="J70">
            <v>-1.9917899724351762</v>
          </cell>
          <cell r="K70">
            <v>0.1993981002239491</v>
          </cell>
        </row>
        <row r="71">
          <cell r="I71">
            <v>2.7205822679337563</v>
          </cell>
          <cell r="J71">
            <v>-1.8995148209135562</v>
          </cell>
          <cell r="K71">
            <v>0.4002484831891393</v>
          </cell>
        </row>
        <row r="72">
          <cell r="I72">
            <v>-2.3570840841502836</v>
          </cell>
          <cell r="J72">
            <v>1.1653018231425509</v>
          </cell>
          <cell r="K72">
            <v>-1.7811841175545706</v>
          </cell>
        </row>
        <row r="73">
          <cell r="I73">
            <v>-1.2487261097701234</v>
          </cell>
          <cell r="J73">
            <v>-5.3698265433829384E-2</v>
          </cell>
          <cell r="K73">
            <v>1.7417943956240132</v>
          </cell>
        </row>
        <row r="74">
          <cell r="I74">
            <v>-1.1320693367729475</v>
          </cell>
          <cell r="J74">
            <v>1.1108403050054609</v>
          </cell>
          <cell r="K74">
            <v>9.6298707275789264E-2</v>
          </cell>
        </row>
        <row r="75">
          <cell r="I75">
            <v>1.5807228229274164</v>
          </cell>
          <cell r="J75">
            <v>-0.88403964772965926</v>
          </cell>
          <cell r="K75">
            <v>1.7717589995135135</v>
          </cell>
        </row>
        <row r="76">
          <cell r="I76">
            <v>-1.9899903853702736</v>
          </cell>
          <cell r="J76">
            <v>2.2936026433813312</v>
          </cell>
          <cell r="K76">
            <v>1.1131522799749041</v>
          </cell>
        </row>
        <row r="77">
          <cell r="I77">
            <v>-1.6163304449656135</v>
          </cell>
          <cell r="J77">
            <v>2.3535671930735811</v>
          </cell>
          <cell r="K77">
            <v>1.5274570730512851</v>
          </cell>
        </row>
        <row r="78">
          <cell r="I78">
            <v>-1.5207294370302935</v>
          </cell>
          <cell r="J78">
            <v>-0.69838314071248919</v>
          </cell>
          <cell r="K78">
            <v>-1.7397937182651306</v>
          </cell>
        </row>
        <row r="79">
          <cell r="I79">
            <v>0.20935468038693553</v>
          </cell>
          <cell r="J79">
            <v>-1.1022801719714392</v>
          </cell>
          <cell r="K79">
            <v>-3.0248378846604211</v>
          </cell>
        </row>
        <row r="80">
          <cell r="I80">
            <v>-0.77319676396998149</v>
          </cell>
          <cell r="J80">
            <v>-0.40857198446096921</v>
          </cell>
          <cell r="K80">
            <v>1.6701284438157082</v>
          </cell>
        </row>
        <row r="81">
          <cell r="I81">
            <v>-0.69903850620642749</v>
          </cell>
          <cell r="J81">
            <v>2.9551179295599104</v>
          </cell>
          <cell r="K81">
            <v>2.296310032312308</v>
          </cell>
        </row>
        <row r="82">
          <cell r="I82">
            <v>3.2558007772189863</v>
          </cell>
          <cell r="J82">
            <v>0.1544230439682206</v>
          </cell>
          <cell r="K82">
            <v>-0.25104098938659059</v>
          </cell>
        </row>
        <row r="83">
          <cell r="I83">
            <v>1.5209330944716666</v>
          </cell>
          <cell r="J83">
            <v>-2.1415168593997862</v>
          </cell>
          <cell r="K83">
            <v>-2.0896534359961709</v>
          </cell>
        </row>
        <row r="84">
          <cell r="I84">
            <v>-2.6280755396200735</v>
          </cell>
          <cell r="J84">
            <v>3.166807590727621</v>
          </cell>
          <cell r="K84">
            <v>0.6355902960368891</v>
          </cell>
        </row>
        <row r="85">
          <cell r="I85">
            <v>0.2909379941947835</v>
          </cell>
          <cell r="J85">
            <v>-0.16949609532716936</v>
          </cell>
          <cell r="K85">
            <v>-2.9462066782497009</v>
          </cell>
        </row>
        <row r="86">
          <cell r="I86">
            <v>-0.39960463561521548</v>
          </cell>
          <cell r="J86">
            <v>-8.6208049641719242E-2</v>
          </cell>
          <cell r="K86">
            <v>-3.9183977258386804</v>
          </cell>
        </row>
        <row r="87">
          <cell r="I87">
            <v>-0.10854140776353478</v>
          </cell>
          <cell r="J87">
            <v>-1.5908230244376962</v>
          </cell>
          <cell r="K87">
            <v>2.3240013076406334</v>
          </cell>
        </row>
        <row r="88">
          <cell r="I88">
            <v>0.59927006208453648</v>
          </cell>
          <cell r="J88">
            <v>0.49781340033704069</v>
          </cell>
          <cell r="K88">
            <v>-0.17757704113960093</v>
          </cell>
        </row>
        <row r="89">
          <cell r="I89">
            <v>0.40238872206081344</v>
          </cell>
          <cell r="J89">
            <v>1.1581628847773908</v>
          </cell>
          <cell r="K89">
            <v>1.2418179229554942</v>
          </cell>
        </row>
        <row r="90">
          <cell r="I90">
            <v>-0.58132356072226743</v>
          </cell>
          <cell r="J90">
            <v>-0.59386842173159926</v>
          </cell>
          <cell r="K90">
            <v>-1.8968525564976808</v>
          </cell>
        </row>
        <row r="91">
          <cell r="I91">
            <v>-1.7594979136704836</v>
          </cell>
          <cell r="J91">
            <v>0.39676713631451088</v>
          </cell>
          <cell r="K91">
            <v>3.0532293224693294</v>
          </cell>
        </row>
        <row r="92">
          <cell r="I92">
            <v>-1.2284412698931935</v>
          </cell>
          <cell r="J92">
            <v>-1.0126530839546992</v>
          </cell>
          <cell r="K92">
            <v>-0.45511259657217096</v>
          </cell>
        </row>
        <row r="93">
          <cell r="I93">
            <v>-3.0465593421964234</v>
          </cell>
          <cell r="J93">
            <v>3.0122461504850611</v>
          </cell>
          <cell r="K93">
            <v>-1.586062831589651</v>
          </cell>
        </row>
        <row r="94">
          <cell r="I94">
            <v>0.8951133702955465</v>
          </cell>
          <cell r="J94">
            <v>-0.89797555275719909</v>
          </cell>
          <cell r="K94">
            <v>2.1375732503986322</v>
          </cell>
        </row>
        <row r="95">
          <cell r="I95">
            <v>1.1410960114072966</v>
          </cell>
          <cell r="J95">
            <v>-1.8113308511995903</v>
          </cell>
          <cell r="K95">
            <v>-2.1390608149212409</v>
          </cell>
        </row>
        <row r="96">
          <cell r="I96">
            <v>-1.2470511406310636</v>
          </cell>
          <cell r="J96">
            <v>-0.71156009522236929</v>
          </cell>
          <cell r="K96">
            <v>-4.1059943542187805</v>
          </cell>
        </row>
        <row r="97">
          <cell r="I97">
            <v>-2.3333432345064336</v>
          </cell>
          <cell r="J97">
            <v>0.49280780137276059</v>
          </cell>
          <cell r="K97">
            <v>-0.50847312278917078</v>
          </cell>
        </row>
        <row r="98">
          <cell r="I98">
            <v>1.0183448364516965</v>
          </cell>
          <cell r="J98">
            <v>-0.60975219355435928</v>
          </cell>
          <cell r="K98">
            <v>-0.6758332158644107</v>
          </cell>
        </row>
        <row r="99">
          <cell r="I99">
            <v>8.8712261090105521E-2</v>
          </cell>
          <cell r="J99">
            <v>-0.41581872566583922</v>
          </cell>
          <cell r="K99">
            <v>7.5358026037269266E-2</v>
          </cell>
        </row>
        <row r="100">
          <cell r="I100">
            <v>0.81154390767252249</v>
          </cell>
          <cell r="J100">
            <v>-0.85274692172879929</v>
          </cell>
          <cell r="K100">
            <v>-0.83915666721224058</v>
          </cell>
        </row>
        <row r="101">
          <cell r="I101">
            <v>0.96173518459442642</v>
          </cell>
          <cell r="J101">
            <v>-4.1402680386480393</v>
          </cell>
          <cell r="K101">
            <v>-2.2552396285865708</v>
          </cell>
        </row>
        <row r="102">
          <cell r="I102">
            <v>0.41878277349453052</v>
          </cell>
          <cell r="J102">
            <v>-0.43292143890842927</v>
          </cell>
          <cell r="K102">
            <v>-0.59794733521658072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rrest"/>
      <sheetName val="SLV PC1"/>
      <sheetName val="SLV PC2"/>
      <sheetName val="SLV PC3"/>
      <sheetName val="INDIVIDUOS"/>
      <sheetName val="VISUALIZACION"/>
      <sheetName val="R4XCL"/>
      <sheetName val="A PIE..."/>
      <sheetName val="Hoja3"/>
      <sheetName val="Hoja2"/>
    </sheetNames>
    <sheetDataSet>
      <sheetData sheetId="0">
        <row r="2">
          <cell r="O2">
            <v>1.2425640838811229</v>
          </cell>
          <cell r="P2">
            <v>0.78283934708991809</v>
          </cell>
          <cell r="Q2">
            <v>-0.52090661458163212</v>
          </cell>
          <cell r="R2">
            <v>-3.4164730151616594E-3</v>
          </cell>
        </row>
        <row r="3">
          <cell r="O3">
            <v>0.50786248217757657</v>
          </cell>
          <cell r="P3">
            <v>1.106822522617628</v>
          </cell>
          <cell r="Q3">
            <v>-1.2117641936023638</v>
          </cell>
          <cell r="R3">
            <v>2.484202941149972</v>
          </cell>
        </row>
        <row r="4">
          <cell r="O4">
            <v>7.1633406166095842E-2</v>
          </cell>
          <cell r="P4">
            <v>1.4788032056309244</v>
          </cell>
          <cell r="Q4">
            <v>0.99898005926397748</v>
          </cell>
          <cell r="R4">
            <v>1.0428783878783281</v>
          </cell>
          <cell r="X4">
            <v>50</v>
          </cell>
        </row>
        <row r="5">
          <cell r="O5">
            <v>0.23234938153874687</v>
          </cell>
          <cell r="P5">
            <v>0.23086801100567184</v>
          </cell>
          <cell r="Q5">
            <v>-1.0735926777982174</v>
          </cell>
          <cell r="R5">
            <v>-0.18491660194566489</v>
          </cell>
        </row>
        <row r="6">
          <cell r="O6">
            <v>0.27826823164521836</v>
          </cell>
          <cell r="P6">
            <v>1.2628144219457844</v>
          </cell>
          <cell r="Q6">
            <v>1.7589233961867823</v>
          </cell>
          <cell r="R6">
            <v>2.0678202924270526</v>
          </cell>
        </row>
        <row r="7">
          <cell r="O7">
            <v>2.571455605962435E-2</v>
          </cell>
          <cell r="P7">
            <v>0.39885928720522507</v>
          </cell>
          <cell r="Q7">
            <v>0.86080854345983115</v>
          </cell>
          <cell r="R7">
            <v>1.8649672071517844</v>
          </cell>
        </row>
        <row r="8">
          <cell r="O8">
            <v>-1.0304189963892239</v>
          </cell>
          <cell r="P8">
            <v>-0.72908213870606087</v>
          </cell>
          <cell r="Q8">
            <v>0.79172278555775799</v>
          </cell>
          <cell r="R8">
            <v>-1.0817407684257989</v>
          </cell>
        </row>
        <row r="9">
          <cell r="O9">
            <v>-0.43347394500509218</v>
          </cell>
          <cell r="P9">
            <v>0.80683810083271146</v>
          </cell>
          <cell r="Q9">
            <v>0.44629399604739223</v>
          </cell>
          <cell r="R9">
            <v>-0.57994629432381906</v>
          </cell>
        </row>
        <row r="10">
          <cell r="O10">
            <v>1.7476714350523113</v>
          </cell>
          <cell r="P10">
            <v>1.9707776573581874</v>
          </cell>
          <cell r="Q10">
            <v>0.99898005926397748</v>
          </cell>
          <cell r="R10">
            <v>1.1389666914297707</v>
          </cell>
        </row>
        <row r="11">
          <cell r="O11">
            <v>2.2068599361170271</v>
          </cell>
          <cell r="P11">
            <v>0.48285492530500168</v>
          </cell>
          <cell r="Q11">
            <v>-0.38273509877748579</v>
          </cell>
          <cell r="R11">
            <v>0.48770152291443564</v>
          </cell>
        </row>
        <row r="12">
          <cell r="O12">
            <v>-0.5712304953245072</v>
          </cell>
          <cell r="P12">
            <v>-1.497042258475447</v>
          </cell>
          <cell r="Q12">
            <v>1.206237332970197</v>
          </cell>
          <cell r="R12">
            <v>-0.11018125473898713</v>
          </cell>
        </row>
        <row r="13">
          <cell r="O13">
            <v>-1.1911349717618744</v>
          </cell>
          <cell r="P13">
            <v>-0.60908836999209426</v>
          </cell>
          <cell r="Q13">
            <v>-0.79724964618992478</v>
          </cell>
          <cell r="R13">
            <v>-0.75076994508193995</v>
          </cell>
        </row>
        <row r="14">
          <cell r="O14">
            <v>0.59970018239052003</v>
          </cell>
          <cell r="P14">
            <v>0.93883124641807469</v>
          </cell>
          <cell r="Q14">
            <v>1.206237332970197</v>
          </cell>
          <cell r="R14">
            <v>0.29552491581154972</v>
          </cell>
        </row>
        <row r="15">
          <cell r="O15">
            <v>-0.13500141931302648</v>
          </cell>
          <cell r="P15">
            <v>-0.69308400809187087</v>
          </cell>
          <cell r="Q15">
            <v>-3.730630926711994E-2</v>
          </cell>
          <cell r="R15">
            <v>-2.4769429359926678E-2</v>
          </cell>
        </row>
        <row r="16">
          <cell r="O16">
            <v>-1.2829726719748178</v>
          </cell>
          <cell r="P16">
            <v>-1.3770484897614805</v>
          </cell>
          <cell r="Q16">
            <v>-0.58999237248370529</v>
          </cell>
          <cell r="R16">
            <v>-1.0603878120810337</v>
          </cell>
        </row>
        <row r="17">
          <cell r="O17">
            <v>-0.41051451995185639</v>
          </cell>
          <cell r="P17">
            <v>-0.66908525434907762</v>
          </cell>
          <cell r="Q17">
            <v>3.1779448634953224E-2</v>
          </cell>
          <cell r="R17">
            <v>-0.34506377453140308</v>
          </cell>
        </row>
        <row r="18">
          <cell r="O18">
            <v>0.438984207017869</v>
          </cell>
          <cell r="P18">
            <v>-0.74108151557745749</v>
          </cell>
          <cell r="Q18">
            <v>-0.9354211619940711</v>
          </cell>
          <cell r="R18">
            <v>-0.52656390346190629</v>
          </cell>
        </row>
        <row r="19">
          <cell r="O19">
            <v>1.7476714350523113</v>
          </cell>
          <cell r="P19">
            <v>0.93883124641807469</v>
          </cell>
          <cell r="Q19">
            <v>3.1779448634953224E-2</v>
          </cell>
          <cell r="R19">
            <v>0.10334830870866381</v>
          </cell>
        </row>
        <row r="20">
          <cell r="O20">
            <v>-1.3059320970280535</v>
          </cell>
          <cell r="P20">
            <v>-1.0530653142337707</v>
          </cell>
          <cell r="Q20">
            <v>-1.0045069198961443</v>
          </cell>
          <cell r="R20">
            <v>-1.4340645481144227</v>
          </cell>
        </row>
        <row r="21">
          <cell r="O21">
            <v>0.80633500786964252</v>
          </cell>
          <cell r="P21">
            <v>1.5507994668593044</v>
          </cell>
          <cell r="Q21">
            <v>0.10086520653702639</v>
          </cell>
          <cell r="R21">
            <v>0.70123108636208653</v>
          </cell>
        </row>
        <row r="22">
          <cell r="O22">
            <v>-0.77786532080362958</v>
          </cell>
          <cell r="P22">
            <v>-0.26110644072159117</v>
          </cell>
          <cell r="Q22">
            <v>1.3444088487743433</v>
          </cell>
          <cell r="R22">
            <v>-0.52656390346190629</v>
          </cell>
        </row>
        <row r="23">
          <cell r="O23">
            <v>0.99001040829552889</v>
          </cell>
          <cell r="P23">
            <v>1.0108275076464546</v>
          </cell>
          <cell r="Q23">
            <v>0.5844655118515385</v>
          </cell>
          <cell r="R23">
            <v>1.4806139929460125</v>
          </cell>
        </row>
        <row r="24">
          <cell r="O24">
            <v>-1.1681755467086385</v>
          </cell>
          <cell r="P24">
            <v>-1.1850584598191338</v>
          </cell>
          <cell r="Q24">
            <v>3.1779448634953224E-2</v>
          </cell>
          <cell r="R24">
            <v>-0.67603459787526199</v>
          </cell>
        </row>
        <row r="25">
          <cell r="O25">
            <v>1.9083874104249621</v>
          </cell>
          <cell r="P25">
            <v>1.0588250151320413</v>
          </cell>
          <cell r="Q25">
            <v>-1.4881072252106564</v>
          </cell>
          <cell r="R25">
            <v>-0.44115207808284584</v>
          </cell>
        </row>
        <row r="26">
          <cell r="O26">
            <v>0.27826823164521836</v>
          </cell>
          <cell r="P26">
            <v>8.6875488548911917E-2</v>
          </cell>
          <cell r="Q26">
            <v>0.3081224802432459</v>
          </cell>
          <cell r="R26">
            <v>0.74393699905161659</v>
          </cell>
        </row>
        <row r="27">
          <cell r="O27">
            <v>-0.41051451995185639</v>
          </cell>
          <cell r="P27">
            <v>-0.74108151557745749</v>
          </cell>
          <cell r="Q27">
            <v>-0.86633540409199794</v>
          </cell>
          <cell r="R27">
            <v>-0.51588742528952403</v>
          </cell>
        </row>
        <row r="28">
          <cell r="O28">
            <v>-0.80082474585686547</v>
          </cell>
          <cell r="P28">
            <v>-0.82507715367723411</v>
          </cell>
          <cell r="Q28">
            <v>-0.24456358297333944</v>
          </cell>
          <cell r="R28">
            <v>-0.50521094711714132</v>
          </cell>
        </row>
        <row r="29">
          <cell r="O29">
            <v>1.0129698333487647</v>
          </cell>
          <cell r="P29">
            <v>0.97482937703226469</v>
          </cell>
          <cell r="Q29">
            <v>1.0680658171660506</v>
          </cell>
          <cell r="R29">
            <v>2.6443501137357099</v>
          </cell>
        </row>
        <row r="30">
          <cell r="O30">
            <v>-1.3059320970280535</v>
          </cell>
          <cell r="P30">
            <v>-1.3650491128900839</v>
          </cell>
          <cell r="Q30">
            <v>-0.65907813038577845</v>
          </cell>
          <cell r="R30">
            <v>-1.2525644191839196</v>
          </cell>
        </row>
        <row r="31">
          <cell r="O31">
            <v>-8.9082569206554774E-2</v>
          </cell>
          <cell r="P31">
            <v>-0.14111267200762459</v>
          </cell>
          <cell r="Q31">
            <v>1.620751880382636</v>
          </cell>
          <cell r="R31">
            <v>-0.25965194915234263</v>
          </cell>
        </row>
        <row r="32">
          <cell r="O32">
            <v>0.8292944329228783</v>
          </cell>
          <cell r="P32">
            <v>1.3708088137883545</v>
          </cell>
          <cell r="Q32">
            <v>0.3081224802432459</v>
          </cell>
          <cell r="R32">
            <v>1.1603196477745361</v>
          </cell>
        </row>
        <row r="33">
          <cell r="O33">
            <v>0.76041615776317062</v>
          </cell>
          <cell r="P33">
            <v>0.99882813077505794</v>
          </cell>
          <cell r="Q33">
            <v>1.4134946066764165</v>
          </cell>
          <cell r="R33">
            <v>0.51973095743158337</v>
          </cell>
        </row>
        <row r="34">
          <cell r="O34">
            <v>1.1966452337746514</v>
          </cell>
          <cell r="P34">
            <v>1.9947764111009807</v>
          </cell>
          <cell r="Q34">
            <v>-1.4190214673085833</v>
          </cell>
          <cell r="R34">
            <v>-0.54791685980667137</v>
          </cell>
        </row>
        <row r="35">
          <cell r="O35">
            <v>-1.6044046227201194</v>
          </cell>
          <cell r="P35">
            <v>-1.5090416353468437</v>
          </cell>
          <cell r="Q35">
            <v>-1.4881072252106564</v>
          </cell>
          <cell r="R35">
            <v>-1.4874469389763356</v>
          </cell>
        </row>
        <row r="36">
          <cell r="O36">
            <v>-0.11204199425979072</v>
          </cell>
          <cell r="P36">
            <v>-0.60908836999209426</v>
          </cell>
          <cell r="Q36">
            <v>0.65355126975361166</v>
          </cell>
          <cell r="R36">
            <v>1.7936483329603358E-2</v>
          </cell>
        </row>
        <row r="37">
          <cell r="O37">
            <v>-0.27275796963244153</v>
          </cell>
          <cell r="P37">
            <v>-0.23710768697879786</v>
          </cell>
          <cell r="Q37">
            <v>0.16995096443909954</v>
          </cell>
          <cell r="R37">
            <v>-0.13153421108375216</v>
          </cell>
        </row>
        <row r="38">
          <cell r="O38">
            <v>-0.66306819553745044</v>
          </cell>
          <cell r="P38">
            <v>-0.14111267200762459</v>
          </cell>
          <cell r="Q38">
            <v>0.10086520653702639</v>
          </cell>
          <cell r="R38">
            <v>0.86137825894782483</v>
          </cell>
        </row>
        <row r="39">
          <cell r="O39">
            <v>-0.34163624479214899</v>
          </cell>
          <cell r="P39">
            <v>-0.77707964619164749</v>
          </cell>
          <cell r="Q39">
            <v>0.44629399604739223</v>
          </cell>
          <cell r="R39">
            <v>-0.67603459787526199</v>
          </cell>
        </row>
        <row r="40">
          <cell r="O40">
            <v>-1.007459571335988</v>
          </cell>
          <cell r="P40">
            <v>3.8877981063325281E-2</v>
          </cell>
          <cell r="Q40">
            <v>1.4825803645784896</v>
          </cell>
          <cell r="R40">
            <v>-1.3806821572525101</v>
          </cell>
        </row>
        <row r="41">
          <cell r="O41">
            <v>1.518077184519953</v>
          </cell>
          <cell r="P41">
            <v>1.2988125525599745</v>
          </cell>
          <cell r="Q41">
            <v>-1.2117641936023638</v>
          </cell>
          <cell r="R41">
            <v>0.13537774322581153</v>
          </cell>
        </row>
        <row r="42">
          <cell r="O42">
            <v>-0.91562187112304461</v>
          </cell>
          <cell r="P42">
            <v>-1.0170671836195806</v>
          </cell>
          <cell r="Q42">
            <v>-1.4190214673085833</v>
          </cell>
          <cell r="R42">
            <v>-0.90024063949529542</v>
          </cell>
        </row>
        <row r="43">
          <cell r="O43">
            <v>1.2425640838811229</v>
          </cell>
          <cell r="P43">
            <v>0.2068692572628785</v>
          </cell>
          <cell r="Q43">
            <v>-0.45182085667955896</v>
          </cell>
          <cell r="R43">
            <v>0.60514278281064349</v>
          </cell>
        </row>
        <row r="44">
          <cell r="O44">
            <v>1.1277669586149437</v>
          </cell>
          <cell r="P44">
            <v>0.36286115659103507</v>
          </cell>
          <cell r="Q44">
            <v>0.99898005926397748</v>
          </cell>
          <cell r="R44">
            <v>0.45567208839728796</v>
          </cell>
        </row>
        <row r="45">
          <cell r="O45">
            <v>-1.0533784214424595</v>
          </cell>
          <cell r="P45">
            <v>-0.60908836999209426</v>
          </cell>
          <cell r="Q45">
            <v>0.99898005926397748</v>
          </cell>
          <cell r="R45">
            <v>0.17808365591534156</v>
          </cell>
        </row>
        <row r="46">
          <cell r="O46">
            <v>-1.2829726719748178</v>
          </cell>
          <cell r="P46">
            <v>-1.4730435047326538</v>
          </cell>
          <cell r="Q46">
            <v>-2.3171363200355346</v>
          </cell>
          <cell r="R46">
            <v>-1.0710642902534164</v>
          </cell>
        </row>
        <row r="47">
          <cell r="O47">
            <v>0.16347110637903922</v>
          </cell>
          <cell r="P47">
            <v>-0.17711080262181458</v>
          </cell>
          <cell r="Q47">
            <v>-0.17547782507126627</v>
          </cell>
          <cell r="R47">
            <v>-5.679886387707439E-2</v>
          </cell>
        </row>
        <row r="48">
          <cell r="O48">
            <v>-0.86970302101657293</v>
          </cell>
          <cell r="P48">
            <v>-0.30910394820717785</v>
          </cell>
          <cell r="Q48">
            <v>0.51537975394946534</v>
          </cell>
          <cell r="R48">
            <v>0.53040743560396564</v>
          </cell>
        </row>
        <row r="49">
          <cell r="O49">
            <v>-0.47939279511156385</v>
          </cell>
          <cell r="P49">
            <v>-1.077064067976564</v>
          </cell>
          <cell r="Q49">
            <v>-1.8335360147210222</v>
          </cell>
          <cell r="R49">
            <v>-1.2739173755286846</v>
          </cell>
        </row>
        <row r="50">
          <cell r="O50">
            <v>-1.1911349717618744</v>
          </cell>
          <cell r="P50">
            <v>-1.4130466203756704</v>
          </cell>
          <cell r="Q50">
            <v>3.1779448634953224E-2</v>
          </cell>
          <cell r="R50">
            <v>-1.1137702029429464</v>
          </cell>
        </row>
        <row r="51">
          <cell r="O51">
            <v>-0.22683911952596986</v>
          </cell>
          <cell r="P51">
            <v>-0.11711391826483128</v>
          </cell>
          <cell r="Q51">
            <v>-0.38273509877748579</v>
          </cell>
          <cell r="R51">
            <v>-0.60129925066858425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0BBD-6870-4B95-AD41-AF25EE507598}">
  <dimension ref="A1:L52"/>
  <sheetViews>
    <sheetView tabSelected="1" workbookViewId="0">
      <selection activeCell="H1" sqref="H1"/>
    </sheetView>
  </sheetViews>
  <sheetFormatPr defaultRowHeight="14.75" x14ac:dyDescent="0.75"/>
  <cols>
    <col min="7" max="7" width="14.31640625" bestFit="1" customWidth="1"/>
    <col min="13" max="13" width="13.6796875" bestFit="1" customWidth="1"/>
    <col min="14" max="14" width="13.31640625" bestFit="1" customWidth="1"/>
    <col min="15" max="15" width="15.6328125" bestFit="1" customWidth="1"/>
    <col min="16" max="16" width="12.26953125" bestFit="1" customWidth="1"/>
  </cols>
  <sheetData>
    <row r="1" spans="1:12" x14ac:dyDescent="0.75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63</v>
      </c>
      <c r="I1" s="5" t="s">
        <v>10</v>
      </c>
      <c r="J1" s="6"/>
    </row>
    <row r="2" spans="1:12" x14ac:dyDescent="0.75">
      <c r="A2">
        <v>1</v>
      </c>
      <c r="B2" t="s">
        <v>11</v>
      </c>
      <c r="C2" s="2">
        <v>13.2</v>
      </c>
      <c r="D2" s="2">
        <v>236</v>
      </c>
      <c r="E2" s="2">
        <v>58</v>
      </c>
      <c r="F2" s="2">
        <v>21.2</v>
      </c>
      <c r="G2" s="2">
        <v>4</v>
      </c>
      <c r="I2" s="3" t="s">
        <v>12</v>
      </c>
      <c r="J2" s="4">
        <v>1</v>
      </c>
      <c r="L2" t="str" cm="1">
        <f t="array" ref="L2:L52">_xll.R.AD_KMedias.C(C1:F51,1,,J3,J4,J5,1,J7)</f>
        <v>Cluster.Asignado</v>
      </c>
    </row>
    <row r="3" spans="1:12" x14ac:dyDescent="0.75">
      <c r="A3">
        <v>2</v>
      </c>
      <c r="B3" t="s">
        <v>13</v>
      </c>
      <c r="C3" s="2">
        <v>10</v>
      </c>
      <c r="D3" s="2">
        <v>263</v>
      </c>
      <c r="E3" s="2">
        <v>48</v>
      </c>
      <c r="F3" s="2">
        <v>44.5</v>
      </c>
      <c r="G3" s="2">
        <v>3</v>
      </c>
      <c r="I3" s="3" t="s">
        <v>14</v>
      </c>
      <c r="J3" s="4">
        <v>4</v>
      </c>
      <c r="L3">
        <v>4</v>
      </c>
    </row>
    <row r="4" spans="1:12" x14ac:dyDescent="0.75">
      <c r="A4">
        <v>3</v>
      </c>
      <c r="B4" t="s">
        <v>15</v>
      </c>
      <c r="C4" s="2">
        <v>8.1</v>
      </c>
      <c r="D4" s="2">
        <v>294</v>
      </c>
      <c r="E4" s="2">
        <v>80</v>
      </c>
      <c r="F4" s="2">
        <v>31</v>
      </c>
      <c r="G4" s="2">
        <v>3</v>
      </c>
      <c r="I4" s="3" t="s">
        <v>16</v>
      </c>
      <c r="J4" s="4">
        <v>10</v>
      </c>
      <c r="L4">
        <v>3</v>
      </c>
    </row>
    <row r="5" spans="1:12" x14ac:dyDescent="0.75">
      <c r="A5">
        <v>4</v>
      </c>
      <c r="B5" t="s">
        <v>17</v>
      </c>
      <c r="C5" s="2">
        <v>8.8000000000000007</v>
      </c>
      <c r="D5" s="2">
        <v>190</v>
      </c>
      <c r="E5" s="2">
        <v>50</v>
      </c>
      <c r="F5" s="2">
        <v>19.5</v>
      </c>
      <c r="G5" s="2">
        <v>4</v>
      </c>
      <c r="I5" s="3" t="s">
        <v>18</v>
      </c>
      <c r="J5" s="4">
        <v>123</v>
      </c>
      <c r="L5">
        <v>3</v>
      </c>
    </row>
    <row r="6" spans="1:12" x14ac:dyDescent="0.75">
      <c r="A6">
        <v>5</v>
      </c>
      <c r="B6" t="s">
        <v>19</v>
      </c>
      <c r="C6" s="2">
        <v>9</v>
      </c>
      <c r="D6" s="2">
        <v>276</v>
      </c>
      <c r="E6" s="2">
        <v>91</v>
      </c>
      <c r="F6" s="2">
        <v>40.6</v>
      </c>
      <c r="G6" s="2">
        <v>3</v>
      </c>
      <c r="I6" s="3" t="s">
        <v>20</v>
      </c>
      <c r="J6" s="4">
        <v>1</v>
      </c>
      <c r="L6">
        <v>4</v>
      </c>
    </row>
    <row r="7" spans="1:12" x14ac:dyDescent="0.75">
      <c r="A7">
        <v>6</v>
      </c>
      <c r="B7" t="s">
        <v>21</v>
      </c>
      <c r="C7" s="2">
        <v>7.9</v>
      </c>
      <c r="D7" s="2">
        <v>204</v>
      </c>
      <c r="E7" s="2">
        <v>78</v>
      </c>
      <c r="F7" s="2">
        <v>38.700000000000003</v>
      </c>
      <c r="G7" s="2">
        <v>3</v>
      </c>
      <c r="I7" s="3" t="s">
        <v>22</v>
      </c>
      <c r="J7" s="4">
        <v>1</v>
      </c>
      <c r="L7">
        <v>3</v>
      </c>
    </row>
    <row r="8" spans="1:12" x14ac:dyDescent="0.75">
      <c r="A8">
        <v>7</v>
      </c>
      <c r="B8" t="s">
        <v>23</v>
      </c>
      <c r="C8" s="2">
        <v>3.3</v>
      </c>
      <c r="D8" s="2">
        <v>110</v>
      </c>
      <c r="E8" s="2">
        <v>77</v>
      </c>
      <c r="F8" s="2">
        <v>11.1</v>
      </c>
      <c r="G8" s="2">
        <v>2</v>
      </c>
      <c r="L8">
        <v>3</v>
      </c>
    </row>
    <row r="9" spans="1:12" x14ac:dyDescent="0.75">
      <c r="A9">
        <v>8</v>
      </c>
      <c r="B9" t="s">
        <v>24</v>
      </c>
      <c r="C9" s="2">
        <v>5.9</v>
      </c>
      <c r="D9" s="2">
        <v>238</v>
      </c>
      <c r="E9" s="2">
        <v>72</v>
      </c>
      <c r="F9" s="2">
        <v>15.8</v>
      </c>
      <c r="G9" s="2">
        <v>2</v>
      </c>
      <c r="L9">
        <v>2</v>
      </c>
    </row>
    <row r="10" spans="1:12" x14ac:dyDescent="0.75">
      <c r="A10">
        <v>9</v>
      </c>
      <c r="B10" t="s">
        <v>25</v>
      </c>
      <c r="C10" s="2">
        <v>15.4</v>
      </c>
      <c r="D10" s="2">
        <v>335</v>
      </c>
      <c r="E10" s="2">
        <v>80</v>
      </c>
      <c r="F10" s="2">
        <v>31.9</v>
      </c>
      <c r="G10" s="2">
        <v>3</v>
      </c>
      <c r="L10">
        <v>2</v>
      </c>
    </row>
    <row r="11" spans="1:12" x14ac:dyDescent="0.75">
      <c r="A11">
        <v>10</v>
      </c>
      <c r="B11" t="s">
        <v>26</v>
      </c>
      <c r="C11" s="2">
        <v>17.399999999999999</v>
      </c>
      <c r="D11" s="2">
        <v>211</v>
      </c>
      <c r="E11" s="2">
        <v>60</v>
      </c>
      <c r="F11" s="2">
        <v>25.8</v>
      </c>
      <c r="G11" s="2">
        <v>4</v>
      </c>
      <c r="L11">
        <v>3</v>
      </c>
    </row>
    <row r="12" spans="1:12" x14ac:dyDescent="0.75">
      <c r="A12">
        <v>11</v>
      </c>
      <c r="B12" t="s">
        <v>27</v>
      </c>
      <c r="C12" s="2">
        <v>5.3</v>
      </c>
      <c r="D12" s="2">
        <v>46</v>
      </c>
      <c r="E12" s="2">
        <v>83</v>
      </c>
      <c r="F12" s="2">
        <v>20.2</v>
      </c>
      <c r="G12" s="2">
        <v>2</v>
      </c>
      <c r="L12">
        <v>4</v>
      </c>
    </row>
    <row r="13" spans="1:12" x14ac:dyDescent="0.75">
      <c r="A13">
        <v>12</v>
      </c>
      <c r="B13" t="s">
        <v>28</v>
      </c>
      <c r="C13" s="2">
        <v>2.6</v>
      </c>
      <c r="D13" s="2">
        <v>120</v>
      </c>
      <c r="E13" s="2">
        <v>54</v>
      </c>
      <c r="F13" s="2">
        <v>14.2</v>
      </c>
      <c r="G13" s="2">
        <v>1</v>
      </c>
      <c r="L13">
        <v>2</v>
      </c>
    </row>
    <row r="14" spans="1:12" x14ac:dyDescent="0.75">
      <c r="A14">
        <v>13</v>
      </c>
      <c r="B14" t="s">
        <v>29</v>
      </c>
      <c r="C14" s="2">
        <v>10.4</v>
      </c>
      <c r="D14" s="2">
        <v>249</v>
      </c>
      <c r="E14" s="2">
        <v>83</v>
      </c>
      <c r="F14" s="2">
        <v>24</v>
      </c>
      <c r="G14" s="2">
        <v>3</v>
      </c>
      <c r="L14">
        <v>1</v>
      </c>
    </row>
    <row r="15" spans="1:12" x14ac:dyDescent="0.75">
      <c r="A15">
        <v>14</v>
      </c>
      <c r="B15" t="s">
        <v>30</v>
      </c>
      <c r="C15" s="2">
        <v>7.2</v>
      </c>
      <c r="D15" s="2">
        <v>113</v>
      </c>
      <c r="E15" s="2">
        <v>65</v>
      </c>
      <c r="F15" s="2">
        <v>21</v>
      </c>
      <c r="G15" s="2">
        <v>2</v>
      </c>
      <c r="L15">
        <v>3</v>
      </c>
    </row>
    <row r="16" spans="1:12" x14ac:dyDescent="0.75">
      <c r="A16">
        <v>15</v>
      </c>
      <c r="B16" t="s">
        <v>31</v>
      </c>
      <c r="C16" s="2">
        <v>2.2000000000000002</v>
      </c>
      <c r="D16" s="2">
        <v>56</v>
      </c>
      <c r="E16" s="2">
        <v>57</v>
      </c>
      <c r="F16" s="2">
        <v>11.3</v>
      </c>
      <c r="G16" s="2">
        <v>1</v>
      </c>
      <c r="L16">
        <v>2</v>
      </c>
    </row>
    <row r="17" spans="1:12" x14ac:dyDescent="0.75">
      <c r="A17">
        <v>16</v>
      </c>
      <c r="B17" t="s">
        <v>32</v>
      </c>
      <c r="C17" s="2">
        <v>6</v>
      </c>
      <c r="D17" s="2">
        <v>115</v>
      </c>
      <c r="E17" s="2">
        <v>66</v>
      </c>
      <c r="F17" s="2">
        <v>18</v>
      </c>
      <c r="G17" s="2">
        <v>2</v>
      </c>
      <c r="L17">
        <v>1</v>
      </c>
    </row>
    <row r="18" spans="1:12" x14ac:dyDescent="0.75">
      <c r="A18">
        <v>17</v>
      </c>
      <c r="B18" t="s">
        <v>33</v>
      </c>
      <c r="C18" s="2">
        <v>9.6999999999999993</v>
      </c>
      <c r="D18" s="2">
        <v>109</v>
      </c>
      <c r="E18" s="2">
        <v>52</v>
      </c>
      <c r="F18" s="2">
        <v>16.3</v>
      </c>
      <c r="G18" s="2">
        <v>1</v>
      </c>
      <c r="L18">
        <v>2</v>
      </c>
    </row>
    <row r="19" spans="1:12" x14ac:dyDescent="0.75">
      <c r="A19">
        <v>18</v>
      </c>
      <c r="B19" t="s">
        <v>34</v>
      </c>
      <c r="C19" s="2">
        <v>15.4</v>
      </c>
      <c r="D19" s="2">
        <v>249</v>
      </c>
      <c r="E19" s="2">
        <v>66</v>
      </c>
      <c r="F19" s="2">
        <v>22.2</v>
      </c>
      <c r="G19" s="2">
        <v>4</v>
      </c>
      <c r="L19">
        <v>1</v>
      </c>
    </row>
    <row r="20" spans="1:12" x14ac:dyDescent="0.75">
      <c r="A20">
        <v>19</v>
      </c>
      <c r="B20" t="s">
        <v>35</v>
      </c>
      <c r="C20" s="2">
        <v>2.1</v>
      </c>
      <c r="D20" s="2">
        <v>83</v>
      </c>
      <c r="E20" s="2">
        <v>51</v>
      </c>
      <c r="F20" s="2">
        <v>7.8</v>
      </c>
      <c r="G20" s="2">
        <v>1</v>
      </c>
      <c r="L20">
        <v>4</v>
      </c>
    </row>
    <row r="21" spans="1:12" x14ac:dyDescent="0.75">
      <c r="A21">
        <v>20</v>
      </c>
      <c r="B21" t="s">
        <v>36</v>
      </c>
      <c r="C21" s="2">
        <v>11.3</v>
      </c>
      <c r="D21" s="2">
        <v>300</v>
      </c>
      <c r="E21" s="2">
        <v>67</v>
      </c>
      <c r="F21" s="2">
        <v>27.8</v>
      </c>
      <c r="G21" s="2">
        <v>3</v>
      </c>
      <c r="L21">
        <v>1</v>
      </c>
    </row>
    <row r="22" spans="1:12" x14ac:dyDescent="0.75">
      <c r="A22">
        <v>21</v>
      </c>
      <c r="B22" t="s">
        <v>37</v>
      </c>
      <c r="C22" s="2">
        <v>4.4000000000000004</v>
      </c>
      <c r="D22" s="2">
        <v>149</v>
      </c>
      <c r="E22" s="2">
        <v>85</v>
      </c>
      <c r="F22" s="2">
        <v>16.3</v>
      </c>
      <c r="G22" s="2">
        <v>2</v>
      </c>
      <c r="L22">
        <v>3</v>
      </c>
    </row>
    <row r="23" spans="1:12" x14ac:dyDescent="0.75">
      <c r="A23">
        <v>22</v>
      </c>
      <c r="B23" t="s">
        <v>38</v>
      </c>
      <c r="C23" s="2">
        <v>12.1</v>
      </c>
      <c r="D23" s="2">
        <v>255</v>
      </c>
      <c r="E23" s="2">
        <v>74</v>
      </c>
      <c r="F23" s="2">
        <v>35.1</v>
      </c>
      <c r="G23" s="2">
        <v>3</v>
      </c>
      <c r="L23">
        <v>2</v>
      </c>
    </row>
    <row r="24" spans="1:12" x14ac:dyDescent="0.75">
      <c r="A24">
        <v>23</v>
      </c>
      <c r="B24" t="s">
        <v>39</v>
      </c>
      <c r="C24" s="2">
        <v>2.7</v>
      </c>
      <c r="D24" s="2">
        <v>72</v>
      </c>
      <c r="E24" s="2">
        <v>66</v>
      </c>
      <c r="F24" s="2">
        <v>14.9</v>
      </c>
      <c r="G24" s="2">
        <v>1</v>
      </c>
      <c r="L24">
        <v>3</v>
      </c>
    </row>
    <row r="25" spans="1:12" x14ac:dyDescent="0.75">
      <c r="A25">
        <v>24</v>
      </c>
      <c r="B25" t="s">
        <v>40</v>
      </c>
      <c r="C25" s="2">
        <v>16.100000000000001</v>
      </c>
      <c r="D25" s="2">
        <v>259</v>
      </c>
      <c r="E25" s="2">
        <v>44</v>
      </c>
      <c r="F25" s="2">
        <v>17.100000000000001</v>
      </c>
      <c r="G25" s="2">
        <v>4</v>
      </c>
      <c r="L25">
        <v>1</v>
      </c>
    </row>
    <row r="26" spans="1:12" x14ac:dyDescent="0.75">
      <c r="A26">
        <v>25</v>
      </c>
      <c r="B26" t="s">
        <v>41</v>
      </c>
      <c r="C26" s="2">
        <v>9</v>
      </c>
      <c r="D26" s="2">
        <v>178</v>
      </c>
      <c r="E26" s="2">
        <v>70</v>
      </c>
      <c r="F26" s="2">
        <v>28.2</v>
      </c>
      <c r="G26" s="2">
        <v>3</v>
      </c>
      <c r="L26">
        <v>4</v>
      </c>
    </row>
    <row r="27" spans="1:12" x14ac:dyDescent="0.75">
      <c r="A27">
        <v>26</v>
      </c>
      <c r="B27" t="s">
        <v>42</v>
      </c>
      <c r="C27" s="2">
        <v>6</v>
      </c>
      <c r="D27" s="2">
        <v>109</v>
      </c>
      <c r="E27" s="2">
        <v>53</v>
      </c>
      <c r="F27" s="2">
        <v>16.399999999999999</v>
      </c>
      <c r="G27" s="2">
        <v>1</v>
      </c>
      <c r="L27">
        <v>3</v>
      </c>
    </row>
    <row r="28" spans="1:12" x14ac:dyDescent="0.75">
      <c r="A28">
        <v>27</v>
      </c>
      <c r="B28" t="s">
        <v>43</v>
      </c>
      <c r="C28" s="2">
        <v>4.3</v>
      </c>
      <c r="D28" s="2">
        <v>102</v>
      </c>
      <c r="E28" s="2">
        <v>62</v>
      </c>
      <c r="F28" s="2">
        <v>16.5</v>
      </c>
      <c r="G28" s="2">
        <v>1</v>
      </c>
      <c r="L28">
        <v>1</v>
      </c>
    </row>
    <row r="29" spans="1:12" x14ac:dyDescent="0.75">
      <c r="A29">
        <v>28</v>
      </c>
      <c r="B29" t="s">
        <v>44</v>
      </c>
      <c r="C29" s="2">
        <v>12.2</v>
      </c>
      <c r="D29" s="2">
        <v>252</v>
      </c>
      <c r="E29" s="2">
        <v>81</v>
      </c>
      <c r="F29" s="2">
        <v>46</v>
      </c>
      <c r="G29" s="2">
        <v>3</v>
      </c>
      <c r="L29">
        <v>1</v>
      </c>
    </row>
    <row r="30" spans="1:12" x14ac:dyDescent="0.75">
      <c r="A30">
        <v>29</v>
      </c>
      <c r="B30" t="s">
        <v>45</v>
      </c>
      <c r="C30" s="2">
        <v>2.1</v>
      </c>
      <c r="D30" s="2">
        <v>57</v>
      </c>
      <c r="E30" s="2">
        <v>56</v>
      </c>
      <c r="F30" s="2">
        <v>9.5</v>
      </c>
      <c r="G30" s="2">
        <v>1</v>
      </c>
      <c r="L30">
        <v>3</v>
      </c>
    </row>
    <row r="31" spans="1:12" x14ac:dyDescent="0.75">
      <c r="A31">
        <v>30</v>
      </c>
      <c r="B31" t="s">
        <v>46</v>
      </c>
      <c r="C31" s="2">
        <v>7.4</v>
      </c>
      <c r="D31" s="2">
        <v>159</v>
      </c>
      <c r="E31" s="2">
        <v>89</v>
      </c>
      <c r="F31" s="2">
        <v>18.8</v>
      </c>
      <c r="G31" s="2">
        <v>2</v>
      </c>
      <c r="L31">
        <v>1</v>
      </c>
    </row>
    <row r="32" spans="1:12" x14ac:dyDescent="0.75">
      <c r="A32">
        <v>31</v>
      </c>
      <c r="B32" t="s">
        <v>47</v>
      </c>
      <c r="C32" s="2">
        <v>11.4</v>
      </c>
      <c r="D32" s="2">
        <v>285</v>
      </c>
      <c r="E32" s="2">
        <v>70</v>
      </c>
      <c r="F32" s="2">
        <v>32.1</v>
      </c>
      <c r="G32" s="2">
        <v>3</v>
      </c>
      <c r="L32">
        <v>2</v>
      </c>
    </row>
    <row r="33" spans="1:12" x14ac:dyDescent="0.75">
      <c r="A33">
        <v>32</v>
      </c>
      <c r="B33" t="s">
        <v>48</v>
      </c>
      <c r="C33" s="2">
        <v>11.1</v>
      </c>
      <c r="D33" s="2">
        <v>254</v>
      </c>
      <c r="E33" s="2">
        <v>86</v>
      </c>
      <c r="F33" s="2">
        <v>26.1</v>
      </c>
      <c r="G33" s="2">
        <v>3</v>
      </c>
      <c r="L33">
        <v>3</v>
      </c>
    </row>
    <row r="34" spans="1:12" x14ac:dyDescent="0.75">
      <c r="A34">
        <v>33</v>
      </c>
      <c r="B34" t="s">
        <v>49</v>
      </c>
      <c r="C34" s="2">
        <v>13</v>
      </c>
      <c r="D34" s="2">
        <v>337</v>
      </c>
      <c r="E34" s="2">
        <v>45</v>
      </c>
      <c r="F34" s="2">
        <v>16.100000000000001</v>
      </c>
      <c r="G34" s="2">
        <v>4</v>
      </c>
      <c r="L34">
        <v>3</v>
      </c>
    </row>
    <row r="35" spans="1:12" x14ac:dyDescent="0.75">
      <c r="A35">
        <v>34</v>
      </c>
      <c r="B35" t="s">
        <v>50</v>
      </c>
      <c r="C35" s="2">
        <v>0.8</v>
      </c>
      <c r="D35" s="2">
        <v>45</v>
      </c>
      <c r="E35" s="2">
        <v>44</v>
      </c>
      <c r="F35" s="2">
        <v>7.3</v>
      </c>
      <c r="G35" s="2">
        <v>1</v>
      </c>
      <c r="L35">
        <v>4</v>
      </c>
    </row>
    <row r="36" spans="1:12" x14ac:dyDescent="0.75">
      <c r="A36">
        <v>35</v>
      </c>
      <c r="B36" t="s">
        <v>51</v>
      </c>
      <c r="C36" s="2">
        <v>7.3</v>
      </c>
      <c r="D36" s="2">
        <v>120</v>
      </c>
      <c r="E36" s="2">
        <v>75</v>
      </c>
      <c r="F36" s="2">
        <v>21.4</v>
      </c>
      <c r="G36" s="2">
        <v>2</v>
      </c>
      <c r="L36">
        <v>1</v>
      </c>
    </row>
    <row r="37" spans="1:12" x14ac:dyDescent="0.75">
      <c r="A37">
        <v>36</v>
      </c>
      <c r="B37" t="s">
        <v>52</v>
      </c>
      <c r="C37" s="2">
        <v>6.6</v>
      </c>
      <c r="D37" s="2">
        <v>151</v>
      </c>
      <c r="E37" s="2">
        <v>68</v>
      </c>
      <c r="F37" s="2">
        <v>20</v>
      </c>
      <c r="G37" s="2">
        <v>2</v>
      </c>
      <c r="L37">
        <v>2</v>
      </c>
    </row>
    <row r="38" spans="1:12" x14ac:dyDescent="0.75">
      <c r="A38">
        <v>37</v>
      </c>
      <c r="B38" t="s">
        <v>53</v>
      </c>
      <c r="C38" s="2">
        <v>4.9000000000000004</v>
      </c>
      <c r="D38" s="2">
        <v>159</v>
      </c>
      <c r="E38" s="2">
        <v>67</v>
      </c>
      <c r="F38" s="2">
        <v>29.3</v>
      </c>
      <c r="G38" s="2">
        <v>2</v>
      </c>
      <c r="L38">
        <v>2</v>
      </c>
    </row>
    <row r="39" spans="1:12" x14ac:dyDescent="0.75">
      <c r="A39">
        <v>38</v>
      </c>
      <c r="B39" t="s">
        <v>54</v>
      </c>
      <c r="C39" s="2">
        <v>6.3</v>
      </c>
      <c r="D39" s="2">
        <v>106</v>
      </c>
      <c r="E39" s="2">
        <v>72</v>
      </c>
      <c r="F39" s="2">
        <v>14.9</v>
      </c>
      <c r="G39" s="2">
        <v>2</v>
      </c>
      <c r="L39">
        <v>2</v>
      </c>
    </row>
    <row r="40" spans="1:12" x14ac:dyDescent="0.75">
      <c r="A40">
        <v>39</v>
      </c>
      <c r="B40" t="s">
        <v>55</v>
      </c>
      <c r="C40" s="2">
        <v>3.4</v>
      </c>
      <c r="D40" s="2">
        <v>174</v>
      </c>
      <c r="E40" s="2">
        <v>87</v>
      </c>
      <c r="F40" s="2">
        <v>8.3000000000000007</v>
      </c>
      <c r="G40" s="2">
        <v>2</v>
      </c>
      <c r="L40">
        <v>2</v>
      </c>
    </row>
    <row r="41" spans="1:12" x14ac:dyDescent="0.75">
      <c r="A41">
        <v>40</v>
      </c>
      <c r="B41" t="s">
        <v>56</v>
      </c>
      <c r="C41" s="2">
        <v>14.4</v>
      </c>
      <c r="D41" s="2">
        <v>279</v>
      </c>
      <c r="E41" s="2">
        <v>48</v>
      </c>
      <c r="F41" s="2">
        <v>22.5</v>
      </c>
      <c r="G41" s="2">
        <v>4</v>
      </c>
      <c r="L41">
        <v>2</v>
      </c>
    </row>
    <row r="42" spans="1:12" x14ac:dyDescent="0.75">
      <c r="A42">
        <v>41</v>
      </c>
      <c r="B42" t="s">
        <v>57</v>
      </c>
      <c r="C42" s="2">
        <v>3.8</v>
      </c>
      <c r="D42" s="2">
        <v>86</v>
      </c>
      <c r="E42" s="2">
        <v>45</v>
      </c>
      <c r="F42" s="2">
        <v>12.8</v>
      </c>
      <c r="G42" s="2">
        <v>1</v>
      </c>
      <c r="L42">
        <v>4</v>
      </c>
    </row>
    <row r="43" spans="1:12" x14ac:dyDescent="0.75">
      <c r="A43">
        <v>42</v>
      </c>
      <c r="B43" t="s">
        <v>58</v>
      </c>
      <c r="C43" s="2">
        <v>13.2</v>
      </c>
      <c r="D43" s="2">
        <v>188</v>
      </c>
      <c r="E43" s="2">
        <v>59</v>
      </c>
      <c r="F43" s="2">
        <v>26.9</v>
      </c>
      <c r="G43" s="2">
        <v>4</v>
      </c>
      <c r="L43">
        <v>1</v>
      </c>
    </row>
    <row r="44" spans="1:12" x14ac:dyDescent="0.75">
      <c r="A44">
        <v>43</v>
      </c>
      <c r="B44" t="s">
        <v>59</v>
      </c>
      <c r="C44" s="2">
        <v>12.7</v>
      </c>
      <c r="D44" s="2">
        <v>201</v>
      </c>
      <c r="E44" s="2">
        <v>80</v>
      </c>
      <c r="F44" s="2">
        <v>25.5</v>
      </c>
      <c r="G44" s="2">
        <v>3</v>
      </c>
      <c r="L44">
        <v>4</v>
      </c>
    </row>
    <row r="45" spans="1:12" x14ac:dyDescent="0.75">
      <c r="A45">
        <v>44</v>
      </c>
      <c r="B45" t="s">
        <v>60</v>
      </c>
      <c r="C45" s="2">
        <v>3.2</v>
      </c>
      <c r="D45" s="2">
        <v>120</v>
      </c>
      <c r="E45" s="2">
        <v>80</v>
      </c>
      <c r="F45" s="2">
        <v>22.9</v>
      </c>
      <c r="G45" s="2">
        <v>2</v>
      </c>
      <c r="L45">
        <v>3</v>
      </c>
    </row>
    <row r="46" spans="1:12" x14ac:dyDescent="0.75">
      <c r="A46">
        <v>45</v>
      </c>
      <c r="B46" t="s">
        <v>61</v>
      </c>
      <c r="C46" s="2">
        <v>2.2000000000000002</v>
      </c>
      <c r="D46" s="2">
        <v>48</v>
      </c>
      <c r="E46" s="2">
        <v>32</v>
      </c>
      <c r="F46" s="2">
        <v>11.2</v>
      </c>
      <c r="G46" s="2">
        <v>1</v>
      </c>
      <c r="L46">
        <v>2</v>
      </c>
    </row>
    <row r="47" spans="1:12" x14ac:dyDescent="0.75">
      <c r="A47">
        <v>46</v>
      </c>
      <c r="B47" t="s">
        <v>62</v>
      </c>
      <c r="C47" s="2">
        <v>8.5</v>
      </c>
      <c r="D47" s="2">
        <v>156</v>
      </c>
      <c r="E47" s="2">
        <v>63</v>
      </c>
      <c r="F47" s="2">
        <v>20.7</v>
      </c>
      <c r="G47" s="2">
        <v>2</v>
      </c>
      <c r="L47">
        <v>1</v>
      </c>
    </row>
    <row r="48" spans="1:12" x14ac:dyDescent="0.75">
      <c r="A48">
        <v>47</v>
      </c>
      <c r="B48" t="s">
        <v>4</v>
      </c>
      <c r="C48" s="2">
        <v>4</v>
      </c>
      <c r="D48" s="2">
        <v>145</v>
      </c>
      <c r="E48" s="2">
        <v>73</v>
      </c>
      <c r="F48" s="2">
        <v>26.2</v>
      </c>
      <c r="G48" s="2">
        <v>2</v>
      </c>
      <c r="L48">
        <v>2</v>
      </c>
    </row>
    <row r="49" spans="1:12" x14ac:dyDescent="0.75">
      <c r="A49">
        <v>48</v>
      </c>
      <c r="B49" t="s">
        <v>5</v>
      </c>
      <c r="C49" s="2">
        <v>5.7</v>
      </c>
      <c r="D49" s="2">
        <v>81</v>
      </c>
      <c r="E49" s="2">
        <v>39</v>
      </c>
      <c r="F49" s="2">
        <v>9.3000000000000007</v>
      </c>
      <c r="G49" s="2">
        <v>1</v>
      </c>
      <c r="L49">
        <v>2</v>
      </c>
    </row>
    <row r="50" spans="1:12" x14ac:dyDescent="0.75">
      <c r="A50">
        <v>49</v>
      </c>
      <c r="B50" t="s">
        <v>6</v>
      </c>
      <c r="C50" s="2">
        <v>2.6</v>
      </c>
      <c r="D50" s="2">
        <v>53</v>
      </c>
      <c r="E50" s="2">
        <v>66</v>
      </c>
      <c r="F50" s="2">
        <v>10.8</v>
      </c>
      <c r="G50" s="2">
        <v>1</v>
      </c>
      <c r="L50">
        <v>1</v>
      </c>
    </row>
    <row r="51" spans="1:12" x14ac:dyDescent="0.75">
      <c r="A51">
        <v>50</v>
      </c>
      <c r="B51" t="s">
        <v>7</v>
      </c>
      <c r="C51" s="2">
        <v>6.8</v>
      </c>
      <c r="D51" s="2">
        <v>161</v>
      </c>
      <c r="E51" s="2">
        <v>60</v>
      </c>
      <c r="F51" s="2">
        <v>15.6</v>
      </c>
      <c r="G51" s="2">
        <v>2</v>
      </c>
      <c r="L51">
        <v>1</v>
      </c>
    </row>
    <row r="52" spans="1:12" x14ac:dyDescent="0.75">
      <c r="L52">
        <v>2</v>
      </c>
    </row>
  </sheetData>
  <autoFilter ref="A1:G51" xr:uid="{D2C70BBD-6870-4B95-AD41-AF25EE50759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50F8-00E3-4015-8A3F-B0828FB4C864}">
  <dimension ref="A1:C10"/>
  <sheetViews>
    <sheetView workbookViewId="0">
      <selection activeCell="C4" sqref="A4:C4"/>
    </sheetView>
  </sheetViews>
  <sheetFormatPr defaultRowHeight="14.75" x14ac:dyDescent="0.75"/>
  <cols>
    <col min="2" max="2" width="12.1796875" bestFit="1" customWidth="1"/>
  </cols>
  <sheetData>
    <row r="1" spans="1:3" x14ac:dyDescent="0.75">
      <c r="A1">
        <v>1</v>
      </c>
      <c r="B1" s="7">
        <v>196.00000000000009</v>
      </c>
    </row>
    <row r="2" spans="1:3" x14ac:dyDescent="0.75">
      <c r="A2">
        <f>A1+1</f>
        <v>2</v>
      </c>
      <c r="B2" s="7">
        <v>102.86240049441732</v>
      </c>
      <c r="C2">
        <f>1-B2/B1</f>
        <v>0.47519183421215683</v>
      </c>
    </row>
    <row r="3" spans="1:3" x14ac:dyDescent="0.75">
      <c r="A3">
        <f t="shared" ref="A3:A10" si="0">A2+1</f>
        <v>3</v>
      </c>
      <c r="B3" s="7">
        <v>81.593288443223912</v>
      </c>
      <c r="C3">
        <f t="shared" ref="C3:C10" si="1">1-B3/B2</f>
        <v>0.20677246446671982</v>
      </c>
    </row>
    <row r="4" spans="1:3" x14ac:dyDescent="0.75">
      <c r="A4" s="8">
        <f t="shared" si="0"/>
        <v>4</v>
      </c>
      <c r="B4" s="9">
        <v>69.868578179427374</v>
      </c>
      <c r="C4" s="8">
        <f t="shared" si="1"/>
        <v>0.14369699380305145</v>
      </c>
    </row>
    <row r="5" spans="1:3" x14ac:dyDescent="0.75">
      <c r="A5">
        <f t="shared" si="0"/>
        <v>5</v>
      </c>
      <c r="B5" s="7">
        <v>51.63029192064613</v>
      </c>
      <c r="C5">
        <f t="shared" si="1"/>
        <v>0.26103703172467674</v>
      </c>
    </row>
    <row r="6" spans="1:3" x14ac:dyDescent="0.75">
      <c r="A6">
        <f t="shared" si="0"/>
        <v>6</v>
      </c>
      <c r="B6" s="7">
        <v>44.544991597457184</v>
      </c>
      <c r="C6">
        <f t="shared" si="1"/>
        <v>0.13723145966477956</v>
      </c>
    </row>
    <row r="7" spans="1:3" x14ac:dyDescent="0.75">
      <c r="A7">
        <f t="shared" si="0"/>
        <v>7</v>
      </c>
      <c r="B7" s="7">
        <v>41.090761291529063</v>
      </c>
      <c r="C7">
        <f t="shared" si="1"/>
        <v>7.754475154341034E-2</v>
      </c>
    </row>
    <row r="8" spans="1:3" x14ac:dyDescent="0.75">
      <c r="A8">
        <f t="shared" si="0"/>
        <v>8</v>
      </c>
      <c r="B8" s="7">
        <v>34.443270034791418</v>
      </c>
      <c r="C8">
        <f t="shared" si="1"/>
        <v>0.16177581158877286</v>
      </c>
    </row>
    <row r="9" spans="1:3" x14ac:dyDescent="0.75">
      <c r="A9">
        <f t="shared" si="0"/>
        <v>9</v>
      </c>
      <c r="B9" s="7">
        <v>32.34902869521413</v>
      </c>
      <c r="C9">
        <f t="shared" si="1"/>
        <v>6.0802628132052394E-2</v>
      </c>
    </row>
    <row r="10" spans="1:3" x14ac:dyDescent="0.75">
      <c r="A10">
        <f t="shared" si="0"/>
        <v>10</v>
      </c>
      <c r="B10" s="7">
        <v>30.270646368187091</v>
      </c>
      <c r="C10">
        <f t="shared" si="1"/>
        <v>6.4248677962146172E-2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 Arrest</vt:lpstr>
      <vt:lpstr>Graf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Bonilla-Gomez</dc:creator>
  <cp:lastModifiedBy>Minor Bonilla-Gomez</cp:lastModifiedBy>
  <dcterms:created xsi:type="dcterms:W3CDTF">2022-04-23T23:31:59Z</dcterms:created>
  <dcterms:modified xsi:type="dcterms:W3CDTF">2022-04-24T00:31:32Z</dcterms:modified>
</cp:coreProperties>
</file>